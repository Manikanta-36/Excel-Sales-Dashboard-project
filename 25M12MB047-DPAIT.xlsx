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amsi\Desktop\"/>
    </mc:Choice>
  </mc:AlternateContent>
  <xr:revisionPtr revIDLastSave="0" documentId="8_{5DFF82CB-ACC9-4E61-B774-0AB5B84D1CC5}" xr6:coauthVersionLast="47" xr6:coauthVersionMax="47" xr10:uidLastSave="{00000000-0000-0000-0000-000000000000}"/>
  <bookViews>
    <workbookView xWindow="-110" yWindow="-110" windowWidth="19420" windowHeight="11500" activeTab="2" xr2:uid="{1E27FA90-0E1C-4F70-8BDC-2434F7FE404F}"/>
  </bookViews>
  <sheets>
    <sheet name="Scenario Summary" sheetId="5" r:id="rId1"/>
    <sheet name="What if analysis" sheetId="4" r:id="rId2"/>
    <sheet name="pivotTable &amp; Chart" sheetId="2" r:id="rId3"/>
    <sheet name="Data" sheetId="1" r:id="rId4"/>
  </sheet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 s="1"/>
  <c r="C7" i="4" l="1"/>
  <c r="C8" i="4" s="1"/>
  <c r="C9" i="4" s="1"/>
</calcChain>
</file>

<file path=xl/sharedStrings.xml><?xml version="1.0" encoding="utf-8"?>
<sst xmlns="http://schemas.openxmlformats.org/spreadsheetml/2006/main" count="594" uniqueCount="190">
  <si>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</si>
  <si>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</si>
  <si>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</si>
  <si>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</si>
  <si>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</si>
  <si>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</si>
  <si>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</si>
  <si>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</si>
  <si>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</si>
  <si>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</si>
  <si>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</si>
  <si>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</si>
  <si>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</si>
  <si>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</si>
  <si>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</si>
  <si>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</si>
  <si>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</si>
  <si>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</si>
  <si>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</si>
  <si>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Central</t>
  </si>
  <si>
    <t>Chair</t>
  </si>
  <si>
    <t>Store C</t>
  </si>
  <si>
    <t>Wholesale</t>
  </si>
  <si>
    <t>Frank</t>
  </si>
  <si>
    <t>Online</t>
  </si>
  <si>
    <t>SAVE10</t>
  </si>
  <si>
    <t>REG100148</t>
  </si>
  <si>
    <t>Cust 5895</t>
  </si>
  <si>
    <t>Cameron</t>
  </si>
  <si>
    <t>South</t>
  </si>
  <si>
    <t>Phone</t>
  </si>
  <si>
    <t>Store D</t>
  </si>
  <si>
    <t>Eva</t>
  </si>
  <si>
    <t>Cash</t>
  </si>
  <si>
    <t>REG100149</t>
  </si>
  <si>
    <t>Cust 9691</t>
  </si>
  <si>
    <t>Sophie</t>
  </si>
  <si>
    <t>North</t>
  </si>
  <si>
    <t>Monitor</t>
  </si>
  <si>
    <t>Retail</t>
  </si>
  <si>
    <t>Carlos</t>
  </si>
  <si>
    <t>Credit Card</t>
  </si>
  <si>
    <t>FREESHIP</t>
  </si>
  <si>
    <t>REG100150</t>
  </si>
  <si>
    <t>Cust 5406</t>
  </si>
  <si>
    <t>Ryan</t>
  </si>
  <si>
    <t>Tablet</t>
  </si>
  <si>
    <t>REG100151</t>
  </si>
  <si>
    <t>Cust 5750</t>
  </si>
  <si>
    <t>Printer</t>
  </si>
  <si>
    <t>Gift Card</t>
  </si>
  <si>
    <t>WINTER15</t>
  </si>
  <si>
    <t>REG100152</t>
  </si>
  <si>
    <t>Cust 6506</t>
  </si>
  <si>
    <t>REG100153</t>
  </si>
  <si>
    <t>Cust 8280</t>
  </si>
  <si>
    <t>Store A</t>
  </si>
  <si>
    <t>REG100154</t>
  </si>
  <si>
    <t>Cust 4358</t>
  </si>
  <si>
    <t>Store B</t>
  </si>
  <si>
    <t>Bob</t>
  </si>
  <si>
    <t>REG100155</t>
  </si>
  <si>
    <t>Cust 3588</t>
  </si>
  <si>
    <t>REG100156</t>
  </si>
  <si>
    <t>Cust 4539</t>
  </si>
  <si>
    <t>REG100157</t>
  </si>
  <si>
    <t>Cust 7067</t>
  </si>
  <si>
    <t>Alice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</si>
  <si>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</si>
  <si>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</si>
  <si>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</si>
  <si>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</si>
  <si>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</si>
  <si>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</si>
  <si>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</si>
  <si>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</si>
  <si>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</si>
  <si>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</si>
  <si>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</si>
  <si>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</si>
  <si>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</si>
  <si>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</si>
  <si>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East</t>
  </si>
  <si>
    <t>REG100165</t>
  </si>
  <si>
    <t>Cust 6114</t>
  </si>
  <si>
    <t>Eric</t>
  </si>
  <si>
    <t>Laptop</t>
  </si>
  <si>
    <t>REG100166</t>
  </si>
  <si>
    <t>Cust 9589</t>
  </si>
  <si>
    <t>Desk</t>
  </si>
  <si>
    <t>REG100167</t>
  </si>
  <si>
    <t>Cust 8184</t>
  </si>
  <si>
    <t>West</t>
  </si>
  <si>
    <t>Debit Card</t>
  </si>
  <si>
    <t>REG100168</t>
  </si>
  <si>
    <t>Cust 2490</t>
  </si>
  <si>
    <t>Wendy</t>
  </si>
  <si>
    <t>Diana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</si>
  <si>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</si>
  <si>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</si>
  <si>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</si>
  <si>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</si>
  <si>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</si>
  <si>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</si>
  <si>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</si>
  <si>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</si>
  <si>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</si>
  <si>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</si>
  <si>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</si>
  <si>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</si>
  <si>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</si>
  <si>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</si>
  <si>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</si>
  <si>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</si>
  <si>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</si>
  <si>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</si>
  <si>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</si>
  <si>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</si>
  <si>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</si>
  <si>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</si>
  <si>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</si>
  <si>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</si>
  <si>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</si>
  <si>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</si>
  <si>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</si>
  <si>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</si>
  <si>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</si>
  <si>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</si>
  <si>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</si>
  <si>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</si>
  <si>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</si>
  <si>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</si>
  <si>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</si>
  <si>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</si>
  <si>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</si>
  <si>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</si>
  <si>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</si>
  <si>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</si>
  <si>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</si>
  <si>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</si>
  <si>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</si>
  <si>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</si>
  <si>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</si>
  <si>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</si>
  <si>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</si>
  <si>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</si>
  <si>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</si>
  <si>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</si>
  <si>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</si>
  <si>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</si>
  <si>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</si>
  <si>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</si>
  <si>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</si>
  <si>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</si>
  <si>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</si>
  <si>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</si>
  <si>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</si>
  <si>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</si>
  <si>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Row Labels</t>
  </si>
  <si>
    <t>Grand Total</t>
  </si>
  <si>
    <t>Column Labels</t>
  </si>
  <si>
    <t>Sum of Quantity</t>
  </si>
  <si>
    <t>Sum of UnitPrice</t>
  </si>
  <si>
    <t>Sum of TotalPrice</t>
  </si>
  <si>
    <t>Sum of Discount</t>
  </si>
  <si>
    <t>Sum of ShippingCost</t>
  </si>
  <si>
    <t>Sum of Returned</t>
  </si>
  <si>
    <t>What if analysis</t>
  </si>
  <si>
    <t>Avg price</t>
  </si>
  <si>
    <t>Total Revenue</t>
  </si>
  <si>
    <t>Item cost</t>
  </si>
  <si>
    <t>Profit</t>
  </si>
  <si>
    <t>Transport Cost</t>
  </si>
  <si>
    <t>Total cost</t>
  </si>
  <si>
    <t>$C$4</t>
  </si>
  <si>
    <t>$C$9</t>
  </si>
  <si>
    <t>Avg price 100</t>
  </si>
  <si>
    <t>Created by vanapalli jyosnai vardhan on 11/28/2025</t>
  </si>
  <si>
    <t>Avg price 150</t>
  </si>
  <si>
    <t>Avg price 200</t>
  </si>
  <si>
    <t>Avg price 300</t>
  </si>
  <si>
    <t>Created by vanapalli jyosnai vardhan on 11/28/2025
Modified by vanapalli jyosnai vardhan on 11/28/2025</t>
  </si>
  <si>
    <t>Avg price 500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</si>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</sst>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71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/>
    <xf numFmtId="171" fontId="0" fillId="3" borderId="0" xfId="0" applyNumberFormat="1" applyFill="1"/>
    <xf numFmtId="0" fontId="0" fillId="0" borderId="0" xfId="0" applyFill="1" applyBorder="1" applyAlignment="1"/>
    <xf numFmtId="171" fontId="0" fillId="0" borderId="0" xfId="0" applyNumberFormat="1" applyFill="1" applyBorder="1" applyAlignment="1"/>
    <xf numFmtId="171" fontId="0" fillId="0" borderId="3" xfId="0" applyNumberFormat="1" applyFill="1" applyBorder="1" applyAlignment="1"/>
    <xf numFmtId="0" fontId="2" fillId="4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3" fillId="5" borderId="0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right"/>
    </xf>
    <xf numFmtId="171" fontId="0" fillId="6" borderId="0" xfId="0" applyNumberFormat="1" applyFill="1" applyBorder="1" applyAlignment="1"/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[25M12MB047-DPAIT.xlsx]pivotTable &amp;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&amp; Chart'!$B$3:$B$4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Chart'!$B$5:$B$10</c:f>
              <c:numCache>
                <c:formatCode>General</c:formatCode>
                <c:ptCount val="5"/>
                <c:pt idx="0">
                  <c:v>21</c:v>
                </c:pt>
                <c:pt idx="1">
                  <c:v>8</c:v>
                </c:pt>
                <c:pt idx="2">
                  <c:v>11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A-4A3D-A285-522714BC98F3}"/>
            </c:ext>
          </c:extLst>
        </c:ser>
        <c:ser>
          <c:idx val="1"/>
          <c:order val="1"/>
          <c:tx>
            <c:strRef>
              <c:f>'pivotTable &amp; Chart'!$C$3:$C$4</c:f>
              <c:strCache>
                <c:ptCount val="1"/>
                <c:pt idx="0">
                  <c:v>Desk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Chart'!$C$5:$C$10</c:f>
              <c:numCache>
                <c:formatCode>General</c:formatCode>
                <c:ptCount val="5"/>
                <c:pt idx="1">
                  <c:v>13</c:v>
                </c:pt>
                <c:pt idx="2">
                  <c:v>22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A-4A3D-A285-522714BC98F3}"/>
            </c:ext>
          </c:extLst>
        </c:ser>
        <c:ser>
          <c:idx val="2"/>
          <c:order val="2"/>
          <c:tx>
            <c:strRef>
              <c:f>'pivotTable &amp; Chart'!$D$3:$D$4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Chart'!$D$5:$D$10</c:f>
              <c:numCache>
                <c:formatCode>General</c:formatCode>
                <c:ptCount val="5"/>
                <c:pt idx="1">
                  <c:v>6</c:v>
                </c:pt>
                <c:pt idx="2">
                  <c:v>35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9A-4A3D-A285-522714BC98F3}"/>
            </c:ext>
          </c:extLst>
        </c:ser>
        <c:ser>
          <c:idx val="3"/>
          <c:order val="3"/>
          <c:tx>
            <c:strRef>
              <c:f>'pivotTable &amp; Chart'!$E$3:$E$4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Chart'!$E$5:$E$10</c:f>
              <c:numCache>
                <c:formatCode>General</c:formatCode>
                <c:ptCount val="5"/>
                <c:pt idx="1">
                  <c:v>29</c:v>
                </c:pt>
                <c:pt idx="2">
                  <c:v>14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9A-4A3D-A285-522714BC98F3}"/>
            </c:ext>
          </c:extLst>
        </c:ser>
        <c:ser>
          <c:idx val="4"/>
          <c:order val="4"/>
          <c:tx>
            <c:strRef>
              <c:f>'pivotTable &amp; Chart'!$F$3:$F$4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Chart'!$F$5:$F$10</c:f>
              <c:numCache>
                <c:formatCode>General</c:formatCode>
                <c:ptCount val="5"/>
                <c:pt idx="2">
                  <c:v>23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9A-4A3D-A285-522714BC98F3}"/>
            </c:ext>
          </c:extLst>
        </c:ser>
        <c:ser>
          <c:idx val="5"/>
          <c:order val="5"/>
          <c:tx>
            <c:strRef>
              <c:f>'pivotTable &amp; Chart'!$G$3:$G$4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Chart'!$G$5:$G$10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17</c:v>
                </c:pt>
                <c:pt idx="3">
                  <c:v>38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9A-4A3D-A285-522714BC98F3}"/>
            </c:ext>
          </c:extLst>
        </c:ser>
        <c:ser>
          <c:idx val="6"/>
          <c:order val="6"/>
          <c:tx>
            <c:strRef>
              <c:f>'pivotTable &amp; Chart'!$H$3:$H$4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'pivotTable &amp; Chart'!$A$5:$A$10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'pivotTable &amp; Chart'!$H$5:$H$10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19</c:v>
                </c:pt>
                <c:pt idx="3">
                  <c:v>37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A-4A3D-A285-522714BC9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896160"/>
        <c:axId val="1226896640"/>
      </c:barChart>
      <c:catAx>
        <c:axId val="12268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96640"/>
        <c:crosses val="autoZero"/>
        <c:auto val="1"/>
        <c:lblAlgn val="ctr"/>
        <c:lblOffset val="100"/>
        <c:noMultiLvlLbl val="0"/>
      </c:catAx>
      <c:valAx>
        <c:axId val="12268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[25M12MB047-DPAIT.xlsx]pivotTable &amp; Chart!PivotTable2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'pivotTable &amp; Chart'!$B$13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'pivotTable &amp; Chart'!$A$14:$A$21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'pivotTable &amp; Chart'!$B$14:$B$21</c:f>
              <c:numCache>
                <c:formatCode>General</c:formatCode>
                <c:ptCount val="7"/>
                <c:pt idx="0">
                  <c:v>1581.48</c:v>
                </c:pt>
                <c:pt idx="1">
                  <c:v>1396.44</c:v>
                </c:pt>
                <c:pt idx="2">
                  <c:v>1654.3100000000002</c:v>
                </c:pt>
                <c:pt idx="3">
                  <c:v>3117.7400000000002</c:v>
                </c:pt>
                <c:pt idx="4">
                  <c:v>1394.18</c:v>
                </c:pt>
                <c:pt idx="5">
                  <c:v>3146.8399999999997</c:v>
                </c:pt>
                <c:pt idx="6">
                  <c:v>1754.52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5-46AD-BE9B-69AB3C54AF3B}"/>
            </c:ext>
          </c:extLst>
        </c:ser>
        <c:ser>
          <c:idx val="1"/>
          <c:order val="1"/>
          <c:tx>
            <c:strRef>
              <c:f>'pivotTable &amp; Chart'!$C$13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'pivotTable &amp; Chart'!$A$14:$A$21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'pivotTable &amp; Chart'!$C$14:$C$21</c:f>
              <c:numCache>
                <c:formatCode>General</c:formatCode>
                <c:ptCount val="7"/>
                <c:pt idx="0">
                  <c:v>15787.755500000001</c:v>
                </c:pt>
                <c:pt idx="1">
                  <c:v>16280.57</c:v>
                </c:pt>
                <c:pt idx="2">
                  <c:v>20817.693999999996</c:v>
                </c:pt>
                <c:pt idx="3">
                  <c:v>28056.018500000002</c:v>
                </c:pt>
                <c:pt idx="4">
                  <c:v>14009.3225</c:v>
                </c:pt>
                <c:pt idx="5">
                  <c:v>30596.218999999997</c:v>
                </c:pt>
                <c:pt idx="6">
                  <c:v>17040.010499999997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5-46AD-BE9B-69AB3C54A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511216"/>
        <c:axId val="1430502096"/>
        <c:axId val="0"/>
      </c:area3DChart>
      <c:catAx>
        <c:axId val="143051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02096"/>
        <c:crosses val="autoZero"/>
        <c:auto val="1"/>
        <c:lblAlgn val="ctr"/>
        <c:lblOffset val="100"/>
        <c:noMultiLvlLbl val="0"/>
      </c:catAx>
      <c:valAx>
        <c:axId val="143050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1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[25M12MB047-DPAIT.xlsx]pivotTable &amp; Chart!PivotTable3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'pivotTable &amp; Chart'!$B$24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'pivotTable &amp; Chart'!$A$25:$A$31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'pivotTable &amp; Chart'!$B$25:$B$31</c:f>
              <c:numCache>
                <c:formatCode>General</c:formatCode>
                <c:ptCount val="6"/>
                <c:pt idx="0">
                  <c:v>0.60000000000000009</c:v>
                </c:pt>
                <c:pt idx="1">
                  <c:v>0.65</c:v>
                </c:pt>
                <c:pt idx="2">
                  <c:v>0.8</c:v>
                </c:pt>
                <c:pt idx="3">
                  <c:v>0.25</c:v>
                </c:pt>
                <c:pt idx="4">
                  <c:v>0.35000000000000003</c:v>
                </c:pt>
                <c:pt idx="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2-42B7-9D92-4DB315E012F8}"/>
            </c:ext>
          </c:extLst>
        </c:ser>
        <c:ser>
          <c:idx val="1"/>
          <c:order val="1"/>
          <c:tx>
            <c:strRef>
              <c:f>'pivotTable &amp; Chart'!$C$24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'pivotTable &amp; Chart'!$A$25:$A$31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'pivotTable &amp; Chart'!$C$25:$C$31</c:f>
              <c:numCache>
                <c:formatCode>General</c:formatCode>
                <c:ptCount val="6"/>
                <c:pt idx="0">
                  <c:v>38964.5075</c:v>
                </c:pt>
                <c:pt idx="1">
                  <c:v>42847.919000000002</c:v>
                </c:pt>
                <c:pt idx="2">
                  <c:v>20685.538500000002</c:v>
                </c:pt>
                <c:pt idx="3">
                  <c:v>4418.6485000000002</c:v>
                </c:pt>
                <c:pt idx="4">
                  <c:v>14095.833999999999</c:v>
                </c:pt>
                <c:pt idx="5">
                  <c:v>21575.142500000002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32-42B7-9D92-4DB315E01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30416"/>
        <c:axId val="1430545296"/>
      </c:lineChart>
      <c:catAx>
        <c:axId val="143053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296"/>
        <c:crosses val="autoZero"/>
        <c:auto val="1"/>
        <c:lblAlgn val="ctr"/>
        <c:lblOffset val="100"/>
        <c:noMultiLvlLbl val="0"/>
      </c:catAx>
      <c:valAx>
        <c:axId val="1430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3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[25M12MB047-DPAIT.xlsx]pivotTable &amp; Chart!PivotTable4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&amp; Chart'!$B$36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&amp; Chart'!$A$37:$A$44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'pivotTable &amp; Chart'!$B$37:$B$44</c:f>
              <c:numCache>
                <c:formatCode>General</c:formatCode>
                <c:ptCount val="7"/>
                <c:pt idx="0">
                  <c:v>63</c:v>
                </c:pt>
                <c:pt idx="1">
                  <c:v>60</c:v>
                </c:pt>
                <c:pt idx="2">
                  <c:v>79</c:v>
                </c:pt>
                <c:pt idx="3">
                  <c:v>88</c:v>
                </c:pt>
                <c:pt idx="4">
                  <c:v>58</c:v>
                </c:pt>
                <c:pt idx="5">
                  <c:v>101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F-4661-A2F8-7D2F355420E2}"/>
            </c:ext>
          </c:extLst>
        </c:ser>
        <c:ser>
          <c:idx val="1"/>
          <c:order val="1"/>
          <c:tx>
            <c:strRef>
              <c:f>'pivotTable &amp; Chart'!$C$36</c:f>
              <c:strCache>
                <c:ptCount val="1"/>
                <c:pt idx="0">
                  <c:v>Sum of ShippingCost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&amp; Chart'!$A$37:$A$44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'pivotTable &amp; Chart'!$C$37:$C$44</c:f>
              <c:numCache>
                <c:formatCode>General</c:formatCode>
                <c:ptCount val="7"/>
                <c:pt idx="0">
                  <c:v>182.12</c:v>
                </c:pt>
                <c:pt idx="1">
                  <c:v>91.460000000000008</c:v>
                </c:pt>
                <c:pt idx="2">
                  <c:v>186.35999999999999</c:v>
                </c:pt>
                <c:pt idx="3">
                  <c:v>200.82999999999998</c:v>
                </c:pt>
                <c:pt idx="4">
                  <c:v>150.15</c:v>
                </c:pt>
                <c:pt idx="5">
                  <c:v>217.29000000000005</c:v>
                </c:pt>
                <c:pt idx="6">
                  <c:v>291.78000000000003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F-4661-A2F8-7D2F355420E2}"/>
            </c:ext>
          </c:extLst>
        </c:ser>
        <c:ser>
          <c:idx val="2"/>
          <c:order val="2"/>
          <c:tx>
            <c:strRef>
              <c:f>'pivotTable &amp; Chart'!$D$36</c:f>
              <c:strCache>
                <c:ptCount val="1"/>
                <c:pt idx="0">
                  <c:v>Sum of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'pivotTable &amp; Chart'!$A$37:$A$44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'pivotTable &amp; Chart'!$D$37:$D$44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F-4661-A2F8-7D2F35542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548176"/>
        <c:axId val="1430531856"/>
      </c:barChart>
      <c:catAx>
        <c:axId val="143054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31856"/>
        <c:crosses val="autoZero"/>
        <c:auto val="1"/>
        <c:lblAlgn val="ctr"/>
        <c:lblOffset val="100"/>
        <c:noMultiLvlLbl val="0"/>
      </c:catAx>
      <c:valAx>
        <c:axId val="143053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0</xdr:row>
      <xdr:rowOff>107950</xdr:rowOff>
    </xdr:from>
    <xdr:to>
      <xdr:col>16</xdr:col>
      <xdr:colOff>450850</xdr:colOff>
      <xdr:row>12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EFEBD-6CEC-93F1-36F7-5584AF5AE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644525</xdr:colOff>
      <xdr:row>11</xdr:row>
      <xdr:rowOff>120650</xdr:rowOff>
    </xdr:from>
    <xdr:to>
      <xdr:col>9</xdr:col>
      <xdr:colOff>273050</xdr:colOff>
      <xdr:row>21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6D2F4D-4408-01EB-57F5-43A3C9357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854075</xdr:colOff>
      <xdr:row>22</xdr:row>
      <xdr:rowOff>38100</xdr:rowOff>
    </xdr:from>
    <xdr:to>
      <xdr:col>10</xdr:col>
      <xdr:colOff>495300</xdr:colOff>
      <xdr:row>32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EA63CA-A1BC-7520-057F-1F3C2935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238125</xdr:colOff>
      <xdr:row>33</xdr:row>
      <xdr:rowOff>19050</xdr:rowOff>
    </xdr:from>
    <xdr:to>
      <xdr:col>12</xdr:col>
      <xdr:colOff>107950</xdr:colOff>
      <xdr:row>46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C5CFAC-441F-33D0-2A7C-68BDFC2A9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apalli jyosnai vardhan" refreshedDate="45989.806935069442" createdVersion="8" refreshedVersion="8" minRefreshableVersion="3" recordCount="51" xr:uid="{CDDD79E5-F8FB-497B-9A23-DB4F417918D6}">
  <cacheSource type="worksheet">
    <worksheetSource ref="A1:S52" sheet="Data"/>
  </cacheSource>
  <cacheFields count="19">
    <cacheField name="Date" numFmtId="168">
      <sharedItems containsSemiMixedTypes="0" containsNonDate="0" containsDate="1" containsString="0" minDate="2023-01-05T00:00:00" maxDate="2025-07-01T00:00:00"/>
    </cacheField>
    <cacheField name="Region" numFmtId="0">
      <sharedItems count="5">
        <s v="Central"/>
        <s v="South"/>
        <s v="North"/>
        <s v="East"/>
        <s v="West"/>
      </sharedItems>
    </cacheField>
    <cacheField name="Product" numFmtId="0">
      <sharedItems count="7">
        <s v="Chair"/>
        <s v="Phone"/>
        <s v="Monitor"/>
        <s v="Tablet"/>
        <s v="Printer"/>
        <s v="Laptop"/>
        <s v="Desk"/>
      </sharedItems>
    </cacheField>
    <cacheField name="Quantity" numFmtId="0">
      <sharedItems containsSemiMixedTypes="0" containsString="0" containsNumber="1" containsInteger="1" minValue="2" maxValue="20"/>
    </cacheField>
    <cacheField name="UnitPrice" numFmtId="0">
      <sharedItems containsSemiMixedTypes="0" containsString="0" containsNumber="1" minValue="15.92" maxValue="555.03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Frank"/>
        <s v="Eva"/>
        <s v="Carlos"/>
        <s v="Bob"/>
        <s v="Alice"/>
        <s v="Diana"/>
      </sharedItems>
    </cacheField>
    <cacheField name="TotalPrice" numFmtId="0">
      <sharedItems containsSemiMixedTypes="0" containsString="0" containsNumber="1" minValue="79.599999999999994" maxValue="9227.94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36" maxValue="49.38"/>
    </cacheField>
    <cacheField name="OrderDate" numFmtId="168">
      <sharedItems containsSemiMixedTypes="0" containsNonDate="0" containsDate="1" containsString="0" minDate="2023-01-05T00:00:00" maxDate="2025-07-01T00:00:00"/>
    </cacheField>
    <cacheField name="DeliveryDate" numFmtId="168">
      <sharedItems containsSemiMixedTypes="0" containsNonDate="0" containsDate="1" containsString="0" minDate="2023-01-08T00:00:00" maxDate="2025-07-10T00:00:00"/>
    </cacheField>
    <cacheField name="Region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d v="2025-05-11T00:00:00"/>
    <x v="0"/>
    <x v="0"/>
    <n v="15"/>
    <n v="210.94"/>
    <s v="Store C"/>
    <s v="Wholesale"/>
    <n v="0.05"/>
    <x v="0"/>
    <n v="3005.895"/>
    <s v="Online"/>
    <s v="SAVE10"/>
    <n v="0"/>
    <s v="REG100148"/>
    <s v="Cust 5895"/>
    <n v="10.91"/>
    <d v="2025-05-11T00:00:00"/>
    <d v="2025-05-21T00:00:00"/>
    <s v="Cameron"/>
  </r>
  <r>
    <d v="2024-03-03T00:00:00"/>
    <x v="1"/>
    <x v="1"/>
    <n v="9"/>
    <n v="382.8"/>
    <s v="Store D"/>
    <s v="Wholesale"/>
    <n v="0"/>
    <x v="1"/>
    <n v="3445.2"/>
    <s v="Cash"/>
    <m/>
    <n v="0"/>
    <s v="REG100149"/>
    <s v="Cust 9691"/>
    <n v="47.94"/>
    <d v="2024-03-03T00:00:00"/>
    <d v="2024-03-05T00:00:00"/>
    <s v="Sophie"/>
  </r>
  <r>
    <d v="2025-01-20T00:00:00"/>
    <x v="2"/>
    <x v="2"/>
    <n v="3"/>
    <n v="386.29"/>
    <s v="Store C"/>
    <s v="Retail"/>
    <n v="0.15"/>
    <x v="2"/>
    <n v="985.03950000000009"/>
    <s v="Credit Card"/>
    <s v="FREESHIP"/>
    <n v="0"/>
    <s v="REG100150"/>
    <s v="Cust 5406"/>
    <n v="32.450000000000003"/>
    <d v="2025-01-20T00:00:00"/>
    <d v="2025-01-30T00:00:00"/>
    <s v="Ryan"/>
  </r>
  <r>
    <d v="2025-03-22T00:00:00"/>
    <x v="2"/>
    <x v="3"/>
    <n v="5"/>
    <n v="225.99"/>
    <s v="Store C"/>
    <s v="Retail"/>
    <n v="0"/>
    <x v="1"/>
    <n v="1129.95"/>
    <s v="Online"/>
    <s v="SAVE10"/>
    <n v="1"/>
    <s v="REG100151"/>
    <s v="Cust 5750"/>
    <n v="10.88"/>
    <d v="2025-03-22T00:00:00"/>
    <d v="2025-03-30T00:00:00"/>
    <s v="Ryan"/>
  </r>
  <r>
    <d v="2025-03-28T00:00:00"/>
    <x v="1"/>
    <x v="4"/>
    <n v="20"/>
    <n v="312.56"/>
    <s v="Store D"/>
    <s v="Retail"/>
    <n v="0.15"/>
    <x v="0"/>
    <n v="5313.52"/>
    <s v="Gift Card"/>
    <s v="WINTER15"/>
    <n v="0"/>
    <s v="REG100152"/>
    <s v="Cust 6506"/>
    <n v="47.39"/>
    <d v="2025-03-28T00:00:00"/>
    <d v="2025-03-30T00:00:00"/>
    <s v="Sophie"/>
  </r>
  <r>
    <d v="2025-02-17T00:00:00"/>
    <x v="2"/>
    <x v="1"/>
    <n v="13"/>
    <n v="433.77"/>
    <s v="Store C"/>
    <s v="Wholesale"/>
    <n v="0.05"/>
    <x v="0"/>
    <n v="5357.0595000000003"/>
    <s v="Cash"/>
    <s v="FREESHIP"/>
    <n v="0"/>
    <s v="REG100153"/>
    <s v="Cust 8280"/>
    <n v="17.61"/>
    <d v="2025-02-17T00:00:00"/>
    <d v="2025-02-21T00:00:00"/>
    <s v="Ryan"/>
  </r>
  <r>
    <d v="2024-11-08T00:00:00"/>
    <x v="1"/>
    <x v="3"/>
    <n v="20"/>
    <n v="159.33000000000001"/>
    <s v="Store A"/>
    <s v="Wholesale"/>
    <n v="0"/>
    <x v="1"/>
    <n v="3186.6"/>
    <s v="Online"/>
    <s v="FREESHIP"/>
    <n v="0"/>
    <s v="REG100154"/>
    <s v="Cust 4358"/>
    <n v="26.32"/>
    <d v="2024-11-08T00:00:00"/>
    <d v="2024-11-11T00:00:00"/>
    <s v="Sophie"/>
  </r>
  <r>
    <d v="2024-03-17T00:00:00"/>
    <x v="1"/>
    <x v="1"/>
    <n v="18"/>
    <n v="32.229999999999997"/>
    <s v="Store B"/>
    <s v="Retail"/>
    <n v="0.05"/>
    <x v="3"/>
    <n v="551.13299999999992"/>
    <s v="Credit Card"/>
    <s v="FREESHIP"/>
    <n v="0"/>
    <s v="REG100155"/>
    <s v="Cust 3588"/>
    <n v="6.04"/>
    <d v="2024-03-17T00:00:00"/>
    <d v="2024-03-21T00:00:00"/>
    <s v="Sophie"/>
  </r>
  <r>
    <d v="2023-08-29T00:00:00"/>
    <x v="1"/>
    <x v="2"/>
    <n v="3"/>
    <n v="527.77"/>
    <s v="Store C"/>
    <s v="Retail"/>
    <n v="0.1"/>
    <x v="3"/>
    <n v="1424.979"/>
    <s v="Cash"/>
    <s v="FREESHIP"/>
    <n v="0"/>
    <s v="REG100156"/>
    <s v="Cust 4539"/>
    <n v="48.66"/>
    <d v="2023-08-29T00:00:00"/>
    <d v="2023-09-01T00:00:00"/>
    <s v="Sophie"/>
  </r>
  <r>
    <d v="2023-06-22T00:00:00"/>
    <x v="1"/>
    <x v="0"/>
    <n v="14"/>
    <n v="291.08999999999997"/>
    <s v="Store A"/>
    <s v="Retail"/>
    <n v="0"/>
    <x v="2"/>
    <n v="4075.26"/>
    <s v="Cash"/>
    <m/>
    <n v="0"/>
    <s v="REG100157"/>
    <s v="Cust 7067"/>
    <n v="39.979999999999997"/>
    <d v="2023-06-22T00:00:00"/>
    <d v="2023-06-30T00:00:00"/>
    <s v="Sophie"/>
  </r>
  <r>
    <d v="2024-02-24T00:00:00"/>
    <x v="1"/>
    <x v="1"/>
    <n v="8"/>
    <n v="350.12"/>
    <s v="Store C"/>
    <s v="Retail"/>
    <n v="0"/>
    <x v="4"/>
    <n v="2800.96"/>
    <s v="Gift Card"/>
    <s v="FREESHIP"/>
    <n v="1"/>
    <s v="REG100158"/>
    <s v="Cust 7720"/>
    <n v="31.65"/>
    <d v="2024-02-24T00:00:00"/>
    <d v="2024-03-01T00:00:00"/>
    <s v="Sophie"/>
  </r>
  <r>
    <d v="2024-04-10T00:00:00"/>
    <x v="2"/>
    <x v="1"/>
    <n v="10"/>
    <n v="195.26"/>
    <s v="Store D"/>
    <s v="Retail"/>
    <n v="0.05"/>
    <x v="4"/>
    <n v="1854.97"/>
    <s v="Credit Card"/>
    <s v="WINTER15"/>
    <n v="0"/>
    <s v="REG100159"/>
    <s v="Cust 5668"/>
    <n v="46.91"/>
    <d v="2024-04-10T00:00:00"/>
    <d v="2024-04-15T00:00:00"/>
    <s v="Ryan"/>
  </r>
  <r>
    <d v="2023-05-14T00:00:00"/>
    <x v="1"/>
    <x v="2"/>
    <n v="13"/>
    <n v="291.10000000000002"/>
    <s v="Store A"/>
    <s v="Wholesale"/>
    <n v="0"/>
    <x v="4"/>
    <n v="3784.3"/>
    <s v="Online"/>
    <s v="FREESHIP"/>
    <n v="0"/>
    <s v="REG100160"/>
    <s v="Cust 8367"/>
    <n v="7.66"/>
    <d v="2023-05-14T00:00:00"/>
    <d v="2023-05-19T00:00:00"/>
    <s v="Sophie"/>
  </r>
  <r>
    <d v="2023-03-11T00:00:00"/>
    <x v="1"/>
    <x v="2"/>
    <n v="6"/>
    <n v="93.92"/>
    <s v="Store B"/>
    <s v="Wholesale"/>
    <n v="0.15"/>
    <x v="1"/>
    <n v="478.99200000000002"/>
    <s v="Credit Card"/>
    <s v="FREESHIP"/>
    <n v="0"/>
    <s v="REG100161"/>
    <s v="Cust 4438"/>
    <n v="11"/>
    <d v="2023-03-11T00:00:00"/>
    <d v="2023-03-18T00:00:00"/>
    <s v="Sophie"/>
  </r>
  <r>
    <d v="2024-08-24T00:00:00"/>
    <x v="0"/>
    <x v="4"/>
    <n v="5"/>
    <n v="15.92"/>
    <s v="Store D"/>
    <s v="Retail"/>
    <n v="0"/>
    <x v="1"/>
    <n v="79.599999999999994"/>
    <s v="Credit Card"/>
    <m/>
    <n v="1"/>
    <s v="REG100162"/>
    <s v="Cust 3481"/>
    <n v="8.66"/>
    <d v="2024-08-24T00:00:00"/>
    <d v="2024-08-26T00:00:00"/>
    <s v="Cameron"/>
  </r>
  <r>
    <d v="2024-02-23T00:00:00"/>
    <x v="1"/>
    <x v="2"/>
    <n v="16"/>
    <n v="120.22"/>
    <s v="Store D"/>
    <s v="Retail"/>
    <n v="0.15"/>
    <x v="3"/>
    <n v="1634.992"/>
    <s v="Cash"/>
    <s v="SAVE10"/>
    <n v="0"/>
    <s v="REG100163"/>
    <s v="Cust 1489"/>
    <n v="8.42"/>
    <d v="2024-02-23T00:00:00"/>
    <d v="2024-03-01T00:00:00"/>
    <s v="Sophie"/>
  </r>
  <r>
    <d v="2024-01-30T00:00:00"/>
    <x v="2"/>
    <x v="2"/>
    <n v="11"/>
    <n v="118.8"/>
    <s v="Store A"/>
    <s v="Retail"/>
    <n v="0.05"/>
    <x v="1"/>
    <n v="1241.46"/>
    <s v="Online"/>
    <s v="SAVE10"/>
    <n v="0"/>
    <s v="REG100164"/>
    <s v="Cust 6649"/>
    <n v="39.32"/>
    <d v="2024-01-30T00:00:00"/>
    <d v="2024-02-06T00:00:00"/>
    <s v="Ryan"/>
  </r>
  <r>
    <d v="2024-01-23T00:00:00"/>
    <x v="3"/>
    <x v="3"/>
    <n v="10"/>
    <n v="92.45"/>
    <s v="Store C"/>
    <s v="Wholesale"/>
    <n v="0.1"/>
    <x v="0"/>
    <n v="832.05000000000007"/>
    <s v="Cash"/>
    <s v="WINTER15"/>
    <n v="1"/>
    <s v="REG100165"/>
    <s v="Cust 6114"/>
    <n v="42.61"/>
    <d v="2024-01-23T00:00:00"/>
    <d v="2024-01-29T00:00:00"/>
    <s v="Eric"/>
  </r>
  <r>
    <d v="2023-01-05T00:00:00"/>
    <x v="2"/>
    <x v="5"/>
    <n v="19"/>
    <n v="463.51"/>
    <s v="Store B"/>
    <s v="Retail"/>
    <n v="0"/>
    <x v="3"/>
    <n v="8806.69"/>
    <s v="Cash"/>
    <s v="FREESHIP"/>
    <n v="0"/>
    <s v="REG100166"/>
    <s v="Cust 9589"/>
    <n v="49.38"/>
    <d v="2023-01-05T00:00:00"/>
    <d v="2023-01-08T00:00:00"/>
    <s v="Ryan"/>
  </r>
  <r>
    <d v="2023-12-21T00:00:00"/>
    <x v="2"/>
    <x v="6"/>
    <n v="7"/>
    <n v="284.7"/>
    <s v="Store D"/>
    <s v="Wholesale"/>
    <n v="0.05"/>
    <x v="3"/>
    <n v="1893.2550000000001"/>
    <s v="Gift Card"/>
    <m/>
    <n v="0"/>
    <s v="REG100167"/>
    <s v="Cust 8184"/>
    <n v="5.36"/>
    <d v="2023-12-21T00:00:00"/>
    <d v="2023-12-30T00:00:00"/>
    <s v="Ryan"/>
  </r>
  <r>
    <d v="2023-05-25T00:00:00"/>
    <x v="4"/>
    <x v="5"/>
    <n v="20"/>
    <n v="343.25"/>
    <s v="Store C"/>
    <s v="Wholesale"/>
    <n v="0.05"/>
    <x v="4"/>
    <n v="6521.75"/>
    <s v="Debit Card"/>
    <s v="FREESHIP"/>
    <n v="0"/>
    <s v="REG100168"/>
    <s v="Cust 2490"/>
    <n v="28.77"/>
    <d v="2023-05-25T00:00:00"/>
    <d v="2023-06-02T00:00:00"/>
    <s v="Wendy"/>
  </r>
  <r>
    <d v="2025-06-30T00:00:00"/>
    <x v="0"/>
    <x v="0"/>
    <n v="6"/>
    <n v="95.24"/>
    <s v="Store D"/>
    <s v="Wholesale"/>
    <n v="0.15"/>
    <x v="5"/>
    <n v="485.72399999999988"/>
    <s v="Gift Card"/>
    <s v="FREESHIP"/>
    <n v="0"/>
    <s v="REG100169"/>
    <s v="Cust 1647"/>
    <n v="18.72"/>
    <d v="2025-06-30T00:00:00"/>
    <d v="2025-07-08T00:00:00"/>
    <s v="Cameron"/>
  </r>
  <r>
    <d v="2025-02-12T00:00:00"/>
    <x v="4"/>
    <x v="6"/>
    <n v="13"/>
    <n v="104.8"/>
    <s v="Store B"/>
    <s v="Retail"/>
    <n v="0.05"/>
    <x v="5"/>
    <n v="1294.28"/>
    <s v="Credit Card"/>
    <s v="WINTER15"/>
    <n v="0"/>
    <s v="REG100170"/>
    <s v="Cust 2017"/>
    <n v="7.79"/>
    <d v="2025-02-12T00:00:00"/>
    <d v="2025-02-19T00:00:00"/>
    <s v="Wendy"/>
  </r>
  <r>
    <d v="2024-01-03T00:00:00"/>
    <x v="4"/>
    <x v="3"/>
    <n v="12"/>
    <n v="164.31"/>
    <s v="Store B"/>
    <s v="Wholesale"/>
    <n v="0.1"/>
    <x v="1"/>
    <n v="1774.548"/>
    <s v="Cash"/>
    <m/>
    <n v="1"/>
    <s v="REG100171"/>
    <s v="Cust 3446"/>
    <n v="38.9"/>
    <d v="2024-01-03T00:00:00"/>
    <d v="2024-01-07T00:00:00"/>
    <s v="Wendy"/>
  </r>
  <r>
    <d v="2023-02-03T00:00:00"/>
    <x v="1"/>
    <x v="3"/>
    <n v="10"/>
    <n v="325.18"/>
    <s v="Store C"/>
    <s v="Wholesale"/>
    <n v="0.1"/>
    <x v="4"/>
    <n v="2926.62"/>
    <s v="Cash"/>
    <s v="WINTER15"/>
    <n v="0"/>
    <s v="REG100172"/>
    <s v="Cust 4877"/>
    <n v="47.39"/>
    <d v="2023-02-03T00:00:00"/>
    <d v="2023-02-13T00:00:00"/>
    <s v="Sophie"/>
  </r>
  <r>
    <d v="2024-03-01T00:00:00"/>
    <x v="3"/>
    <x v="2"/>
    <n v="17"/>
    <n v="542.82000000000005"/>
    <s v="Store A"/>
    <s v="Wholesale"/>
    <n v="0"/>
    <x v="4"/>
    <n v="9227.94"/>
    <s v="Debit Card"/>
    <s v="WINTER15"/>
    <n v="1"/>
    <s v="REG100173"/>
    <s v="Cust 9112"/>
    <n v="7.13"/>
    <d v="2024-03-01T00:00:00"/>
    <d v="2024-03-08T00:00:00"/>
    <s v="Eric"/>
  </r>
  <r>
    <d v="2023-05-24T00:00:00"/>
    <x v="2"/>
    <x v="3"/>
    <n v="14"/>
    <n v="207.48"/>
    <s v="Store C"/>
    <s v="Wholesale"/>
    <n v="0.05"/>
    <x v="1"/>
    <n v="2759.483999999999"/>
    <s v="Online"/>
    <m/>
    <n v="0"/>
    <s v="REG100174"/>
    <s v="Cust 8172"/>
    <n v="5.7"/>
    <d v="2023-05-24T00:00:00"/>
    <d v="2023-06-02T00:00:00"/>
    <s v="Ryan"/>
  </r>
  <r>
    <d v="2025-06-22T00:00:00"/>
    <x v="2"/>
    <x v="4"/>
    <n v="17"/>
    <n v="527.88"/>
    <s v="Store D"/>
    <s v="Retail"/>
    <n v="0.05"/>
    <x v="3"/>
    <n v="8525.2619999999988"/>
    <s v="Cash"/>
    <s v="WINTER15"/>
    <n v="0"/>
    <s v="REG100175"/>
    <s v="Cust 4597"/>
    <n v="21.32"/>
    <d v="2025-06-22T00:00:00"/>
    <d v="2025-06-28T00:00:00"/>
    <s v="Ryan"/>
  </r>
  <r>
    <d v="2023-04-10T00:00:00"/>
    <x v="2"/>
    <x v="0"/>
    <n v="11"/>
    <n v="71.209999999999994"/>
    <s v="Store B"/>
    <s v="Retail"/>
    <n v="0.05"/>
    <x v="5"/>
    <n v="744.14449999999988"/>
    <s v="Online"/>
    <m/>
    <n v="1"/>
    <s v="REG100176"/>
    <s v="Cust 3690"/>
    <n v="44.2"/>
    <d v="2023-04-10T00:00:00"/>
    <d v="2023-04-14T00:00:00"/>
    <s v="Ryan"/>
  </r>
  <r>
    <d v="2025-03-04T00:00:00"/>
    <x v="0"/>
    <x v="4"/>
    <n v="8"/>
    <n v="486.07"/>
    <s v="Store B"/>
    <s v="Retail"/>
    <n v="0"/>
    <x v="2"/>
    <n v="3888.56"/>
    <s v="Debit Card"/>
    <s v="FREESHIP"/>
    <n v="0"/>
    <s v="REG100177"/>
    <s v="Cust 2893"/>
    <n v="10.68"/>
    <d v="2025-03-04T00:00:00"/>
    <d v="2025-03-10T00:00:00"/>
    <s v="Cameron"/>
  </r>
  <r>
    <d v="2024-07-11T00:00:00"/>
    <x v="3"/>
    <x v="5"/>
    <n v="6"/>
    <n v="555.03"/>
    <s v="Store C"/>
    <s v="Retail"/>
    <n v="0.1"/>
    <x v="0"/>
    <n v="2997.1619999999998"/>
    <s v="Credit Card"/>
    <m/>
    <n v="1"/>
    <s v="REG100178"/>
    <s v="Cust 5602"/>
    <n v="23.69"/>
    <d v="2024-07-11T00:00:00"/>
    <d v="2024-07-20T00:00:00"/>
    <s v="Eric"/>
  </r>
  <r>
    <d v="2024-08-17T00:00:00"/>
    <x v="3"/>
    <x v="6"/>
    <n v="13"/>
    <n v="421.08"/>
    <s v="Store B"/>
    <s v="Wholesale"/>
    <n v="0"/>
    <x v="3"/>
    <n v="5474.04"/>
    <s v="Cash"/>
    <m/>
    <n v="0"/>
    <s v="REG100179"/>
    <s v="Cust 5616"/>
    <n v="24.51"/>
    <d v="2024-08-17T00:00:00"/>
    <d v="2024-08-20T00:00:00"/>
    <s v="Eric"/>
  </r>
  <r>
    <d v="2025-06-30T00:00:00"/>
    <x v="2"/>
    <x v="5"/>
    <n v="16"/>
    <n v="76.17"/>
    <s v="Store D"/>
    <s v="Wholesale"/>
    <n v="0.1"/>
    <x v="4"/>
    <n v="1096.848"/>
    <s v="Cash"/>
    <s v="WINTER15"/>
    <n v="0"/>
    <s v="REG100180"/>
    <s v="Cust 1312"/>
    <n v="41.88"/>
    <d v="2025-06-30T00:00:00"/>
    <d v="2025-07-09T00:00:00"/>
    <s v="Ryan"/>
  </r>
  <r>
    <d v="2024-11-06T00:00:00"/>
    <x v="1"/>
    <x v="4"/>
    <n v="3"/>
    <n v="503.55"/>
    <s v="Store C"/>
    <s v="Wholesale"/>
    <n v="0.1"/>
    <x v="3"/>
    <n v="1359.585"/>
    <s v="Credit Card"/>
    <s v="WINTER15"/>
    <n v="0"/>
    <s v="REG100181"/>
    <s v="Cust 6315"/>
    <n v="37.49"/>
    <d v="2024-11-06T00:00:00"/>
    <d v="2024-11-13T00:00:00"/>
    <s v="Sophie"/>
  </r>
  <r>
    <d v="2025-04-01T00:00:00"/>
    <x v="3"/>
    <x v="3"/>
    <n v="5"/>
    <n v="31.56"/>
    <s v="Store D"/>
    <s v="Retail"/>
    <n v="0"/>
    <x v="5"/>
    <n v="157.80000000000001"/>
    <s v="Online"/>
    <s v="SAVE10"/>
    <n v="1"/>
    <s v="REG100182"/>
    <s v="Cust 1224"/>
    <n v="29.56"/>
    <d v="2025-04-01T00:00:00"/>
    <d v="2025-04-04T00:00:00"/>
    <s v="Eric"/>
  </r>
  <r>
    <d v="2024-07-01T00:00:00"/>
    <x v="4"/>
    <x v="5"/>
    <n v="16"/>
    <n v="72.92"/>
    <s v="Store C"/>
    <s v="Wholesale"/>
    <n v="0.05"/>
    <x v="0"/>
    <n v="1108.384"/>
    <s v="Cash"/>
    <s v="FREESHIP"/>
    <n v="0"/>
    <s v="REG100183"/>
    <s v="Cust 7182"/>
    <n v="5.7"/>
    <d v="2024-07-01T00:00:00"/>
    <d v="2024-07-06T00:00:00"/>
    <s v="Wendy"/>
  </r>
  <r>
    <d v="2023-12-09T00:00:00"/>
    <x v="4"/>
    <x v="4"/>
    <n v="18"/>
    <n v="421.93"/>
    <s v="Store D"/>
    <s v="Retail"/>
    <n v="0.05"/>
    <x v="3"/>
    <n v="7215.0029999999997"/>
    <s v="Gift Card"/>
    <s v="WINTER15"/>
    <n v="0"/>
    <s v="REG100184"/>
    <s v="Cust 7901"/>
    <n v="23.42"/>
    <d v="2023-12-09T00:00:00"/>
    <d v="2023-12-18T00:00:00"/>
    <s v="Wendy"/>
  </r>
  <r>
    <d v="2023-06-27T00:00:00"/>
    <x v="2"/>
    <x v="6"/>
    <n v="15"/>
    <n v="478.41"/>
    <s v="Store B"/>
    <s v="Retail"/>
    <n v="0.1"/>
    <x v="2"/>
    <n v="6458.5350000000008"/>
    <s v="Debit Card"/>
    <s v="FREESHIP"/>
    <n v="0"/>
    <s v="REG100185"/>
    <s v="Cust 1736"/>
    <n v="35.630000000000003"/>
    <d v="2023-06-27T00:00:00"/>
    <d v="2023-06-30T00:00:00"/>
    <s v="Ryan"/>
  </r>
  <r>
    <d v="2023-07-14T00:00:00"/>
    <x v="1"/>
    <x v="0"/>
    <n v="9"/>
    <n v="501.74"/>
    <s v="Store D"/>
    <s v="Retail"/>
    <n v="0"/>
    <x v="3"/>
    <n v="4515.66"/>
    <s v="Online"/>
    <s v="SAVE10"/>
    <n v="1"/>
    <s v="REG100186"/>
    <s v="Cust 7795"/>
    <n v="39.74"/>
    <d v="2023-07-14T00:00:00"/>
    <d v="2023-07-17T00:00:00"/>
    <s v="Sophie"/>
  </r>
  <r>
    <d v="2023-02-08T00:00:00"/>
    <x v="1"/>
    <x v="3"/>
    <n v="7"/>
    <n v="247.53"/>
    <s v="Store C"/>
    <s v="Wholesale"/>
    <n v="0.15"/>
    <x v="4"/>
    <n v="1472.8035"/>
    <s v="Gift Card"/>
    <s v="FREESHIP"/>
    <n v="0"/>
    <s v="REG100187"/>
    <s v="Cust 2471"/>
    <n v="13.63"/>
    <d v="2023-02-08T00:00:00"/>
    <d v="2023-02-16T00:00:00"/>
    <s v="Sophie"/>
  </r>
  <r>
    <d v="2024-06-28T00:00:00"/>
    <x v="4"/>
    <x v="3"/>
    <n v="6"/>
    <n v="176.51"/>
    <s v="Store C"/>
    <s v="Wholesale"/>
    <n v="0.15"/>
    <x v="2"/>
    <n v="900.20099999999991"/>
    <s v="Debit Card"/>
    <s v="FREESHIP"/>
    <n v="1"/>
    <s v="REG100188"/>
    <s v="Cust 3068"/>
    <n v="31.02"/>
    <d v="2024-06-28T00:00:00"/>
    <d v="2024-07-07T00:00:00"/>
    <s v="Wendy"/>
  </r>
  <r>
    <d v="2024-04-15T00:00:00"/>
    <x v="4"/>
    <x v="5"/>
    <n v="2"/>
    <n v="143.43"/>
    <s v="Store D"/>
    <s v="Wholesale"/>
    <n v="0"/>
    <x v="3"/>
    <n v="286.86"/>
    <s v="Credit Card"/>
    <m/>
    <n v="0"/>
    <s v="REG100189"/>
    <s v="Cust 3848"/>
    <n v="36.94"/>
    <d v="2024-04-15T00:00:00"/>
    <d v="2024-04-22T00:00:00"/>
    <s v="Wendy"/>
  </r>
  <r>
    <d v="2023-11-27T00:00:00"/>
    <x v="3"/>
    <x v="2"/>
    <n v="12"/>
    <n v="538.5"/>
    <s v="Store C"/>
    <s v="Wholesale"/>
    <n v="0.05"/>
    <x v="4"/>
    <n v="6138.9"/>
    <s v="Cash"/>
    <s v="SAVE10"/>
    <n v="0"/>
    <s v="REG100190"/>
    <s v="Cust 7777"/>
    <n v="18.54"/>
    <d v="2023-11-27T00:00:00"/>
    <d v="2023-12-06T00:00:00"/>
    <s v="Eric"/>
  </r>
  <r>
    <d v="2025-03-27T00:00:00"/>
    <x v="3"/>
    <x v="4"/>
    <n v="5"/>
    <n v="87.17"/>
    <s v="Store D"/>
    <s v="Wholesale"/>
    <n v="0"/>
    <x v="2"/>
    <n v="435.85"/>
    <s v="Debit Card"/>
    <m/>
    <n v="0"/>
    <s v="REG100191"/>
    <s v="Cust 6613"/>
    <n v="13.01"/>
    <d v="2025-03-27T00:00:00"/>
    <d v="2025-03-29T00:00:00"/>
    <s v="Eric"/>
  </r>
  <r>
    <d v="2023-08-06T00:00:00"/>
    <x v="1"/>
    <x v="2"/>
    <n v="7"/>
    <n v="498.32"/>
    <s v="Store B"/>
    <s v="Wholesale"/>
    <n v="0.1"/>
    <x v="4"/>
    <n v="3139.4160000000002"/>
    <s v="Credit Card"/>
    <s v="WINTER15"/>
    <n v="1"/>
    <s v="REG100192"/>
    <s v="Cust 2326"/>
    <n v="27.65"/>
    <d v="2023-08-06T00:00:00"/>
    <d v="2023-08-10T00:00:00"/>
    <s v="Sophie"/>
  </r>
  <r>
    <d v="2024-12-13T00:00:00"/>
    <x v="1"/>
    <x v="4"/>
    <n v="15"/>
    <n v="57.14"/>
    <s v="Store B"/>
    <s v="Wholesale"/>
    <n v="0.15"/>
    <x v="2"/>
    <n v="728.53499999999997"/>
    <s v="Debit Card"/>
    <s v="FREESHIP"/>
    <n v="0"/>
    <s v="REG100193"/>
    <s v="Cust 8304"/>
    <n v="7.02"/>
    <d v="2024-12-13T00:00:00"/>
    <d v="2024-12-22T00:00:00"/>
    <s v="Sophie"/>
  </r>
  <r>
    <d v="2025-01-17T00:00:00"/>
    <x v="0"/>
    <x v="3"/>
    <n v="18"/>
    <n v="124.18"/>
    <s v="Store B"/>
    <s v="Wholesale"/>
    <n v="0.15"/>
    <x v="2"/>
    <n v="1899.954"/>
    <s v="Debit Card"/>
    <s v="SAVE10"/>
    <n v="0"/>
    <s v="REG100194"/>
    <s v="Cust 3630"/>
    <n v="45.77"/>
    <d v="2025-01-17T00:00:00"/>
    <d v="2025-01-26T00:00:00"/>
    <s v="Cameron"/>
  </r>
  <r>
    <d v="2023-11-26T00:00:00"/>
    <x v="4"/>
    <x v="6"/>
    <n v="12"/>
    <n v="107.45"/>
    <s v="Store C"/>
    <s v="Retail"/>
    <n v="0.1"/>
    <x v="3"/>
    <n v="1160.46"/>
    <s v="Online"/>
    <s v="FREESHIP"/>
    <n v="0"/>
    <s v="REG100195"/>
    <s v="Cust 8617"/>
    <n v="18.170000000000002"/>
    <d v="2023-11-26T00:00:00"/>
    <d v="2023-12-02T00:00:00"/>
    <s v="Wendy"/>
  </r>
  <r>
    <d v="2023-02-14T00:00:00"/>
    <x v="3"/>
    <x v="0"/>
    <n v="8"/>
    <n v="411.26"/>
    <s v="Store A"/>
    <s v="Retail"/>
    <n v="0.1"/>
    <x v="0"/>
    <n v="2961.0720000000001"/>
    <s v="Gift Card"/>
    <s v="WINTER15"/>
    <n v="0"/>
    <s v="REG100196"/>
    <s v="Cust 3530"/>
    <n v="28.57"/>
    <d v="2023-02-14T00:00:00"/>
    <d v="2023-02-18T00:00:00"/>
    <s v="Eric"/>
  </r>
  <r>
    <d v="2025-02-02T00:00:00"/>
    <x v="0"/>
    <x v="4"/>
    <n v="7"/>
    <n v="248.1"/>
    <s v="Store C"/>
    <s v="Retail"/>
    <n v="0"/>
    <x v="5"/>
    <n v="1736.7"/>
    <s v="Cash"/>
    <s v="WINTER15"/>
    <n v="0"/>
    <s v="REG100197"/>
    <s v="Cust 3884"/>
    <n v="31.8"/>
    <d v="2025-02-02T00:00:00"/>
    <d v="2025-02-06T00:00:00"/>
    <s v="Cameron"/>
  </r>
  <r>
    <d v="2023-04-11T00:00:00"/>
    <x v="4"/>
    <x v="4"/>
    <n v="3"/>
    <n v="486.52"/>
    <s v="Store B"/>
    <s v="Wholesale"/>
    <n v="0.1"/>
    <x v="2"/>
    <n v="1313.604"/>
    <s v="Gift Card"/>
    <m/>
    <n v="0"/>
    <s v="REG100198"/>
    <s v="Cust 5739"/>
    <n v="16.5"/>
    <d v="2023-04-11T00:00:00"/>
    <d v="2023-04-20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200BA-82F1-4353-99DF-E7FE58E9E9C2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6:D44" firstHeaderRow="0" firstDataRow="1" firstDataCol="1"/>
  <pivotFields count="19">
    <pivotField numFmtId="168" showAll="0"/>
    <pivotField showAll="0">
      <items count="6">
        <item x="0"/>
        <item x="3"/>
        <item x="2"/>
        <item x="1"/>
        <item x="4"/>
        <item t="default"/>
      </items>
    </pivotField>
    <pivotField axis="axisRow" showAll="0">
      <items count="8">
        <item x="0"/>
        <item x="6"/>
        <item x="5"/>
        <item x="2"/>
        <item x="1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168" showAll="0"/>
    <pivotField numFmtId="168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Sum of ShippingCost" fld="15" baseField="0" baseItem="0"/>
    <dataField name="Sum of Returned" fld="1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36663-C14A-4594-AB07-C15773A3ED5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C31" firstHeaderRow="0" firstDataRow="1" firstDataCol="1"/>
  <pivotFields count="19">
    <pivotField numFmtId="168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4"/>
        <item x="3"/>
        <item x="2"/>
        <item x="5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7" baseField="0" baseItem="0"/>
    <dataField name="Sum of TotalPrice" fld="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A6C27-3F6C-48C2-B0EB-E0DA8DB71D6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3:C21" firstHeaderRow="0" firstDataRow="1" firstDataCol="1"/>
  <pivotFields count="19">
    <pivotField numFmtId="168" showAll="0"/>
    <pivotField showAll="0"/>
    <pivotField axis="axisRow" showAll="0">
      <items count="8">
        <item x="0"/>
        <item x="6"/>
        <item x="5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Price" fld="4" baseField="0" baseItem="0"/>
    <dataField name="Sum of TotalPrice" fld="9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6E5C4-3A6D-43AE-8B3D-E743886F28E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10" firstHeaderRow="1" firstDataRow="2" firstDataCol="1"/>
  <pivotFields count="19">
    <pivotField numFmtId="168" showAll="0"/>
    <pivotField axis="axisRow" showAll="0">
      <items count="6">
        <item x="0"/>
        <item x="3"/>
        <item x="2"/>
        <item x="1"/>
        <item x="4"/>
        <item t="default"/>
      </items>
    </pivotField>
    <pivotField axis="axisCol" showAll="0">
      <items count="8">
        <item x="0"/>
        <item x="6"/>
        <item x="5"/>
        <item x="2"/>
        <item x="1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" fld="3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3AA9-248F-4D5B-AF18-652EAEAD2B75}">
  <sheetPr>
    <outlinePr summaryBelow="0"/>
  </sheetPr>
  <dimension ref="B1:I11"/>
  <sheetViews>
    <sheetView showGridLines="0" workbookViewId="0"/>
  </sheetViews>
  <sheetFormatPr defaultRowHeight="14.5" outlineLevelRow="1" outlineLevelCol="1" x14ac:dyDescent="0.35"/>
  <cols>
    <col min="3" max="3" width="5.08984375" bestFit="1" customWidth="1"/>
    <col min="4" max="9" width="12.1796875" bestFit="1" customWidth="1" outlineLevel="1"/>
  </cols>
  <sheetData>
    <row r="1" spans="2:9" ht="15" thickBot="1" x14ac:dyDescent="0.4"/>
    <row r="2" spans="2:9" ht="16" x14ac:dyDescent="0.4">
      <c r="B2" s="14" t="s">
        <v>183</v>
      </c>
      <c r="C2" s="14"/>
      <c r="D2" s="19"/>
      <c r="E2" s="19"/>
      <c r="F2" s="19"/>
      <c r="G2" s="19"/>
      <c r="H2" s="19"/>
      <c r="I2" s="19"/>
    </row>
    <row r="3" spans="2:9" ht="16" collapsed="1" x14ac:dyDescent="0.4">
      <c r="B3" s="13"/>
      <c r="C3" s="13"/>
      <c r="D3" s="20" t="s">
        <v>185</v>
      </c>
      <c r="E3" s="20" t="s">
        <v>176</v>
      </c>
      <c r="F3" s="20" t="s">
        <v>178</v>
      </c>
      <c r="G3" s="20" t="s">
        <v>179</v>
      </c>
      <c r="H3" s="20" t="s">
        <v>180</v>
      </c>
      <c r="I3" s="20" t="s">
        <v>182</v>
      </c>
    </row>
    <row r="4" spans="2:9" ht="84" hidden="1" outlineLevel="1" x14ac:dyDescent="0.35">
      <c r="B4" s="16"/>
      <c r="C4" s="16"/>
      <c r="D4" s="10"/>
      <c r="E4" s="22" t="s">
        <v>177</v>
      </c>
      <c r="F4" s="22" t="s">
        <v>177</v>
      </c>
      <c r="G4" s="22" t="s">
        <v>177</v>
      </c>
      <c r="H4" s="22" t="s">
        <v>181</v>
      </c>
      <c r="I4" s="22" t="s">
        <v>177</v>
      </c>
    </row>
    <row r="5" spans="2:9" x14ac:dyDescent="0.35">
      <c r="B5" s="17" t="s">
        <v>184</v>
      </c>
      <c r="C5" s="17"/>
      <c r="D5" s="15"/>
      <c r="E5" s="15"/>
      <c r="F5" s="15"/>
      <c r="G5" s="15"/>
      <c r="H5" s="15"/>
      <c r="I5" s="15"/>
    </row>
    <row r="6" spans="2:9" outlineLevel="1" x14ac:dyDescent="0.35">
      <c r="B6" s="16"/>
      <c r="C6" s="16" t="s">
        <v>174</v>
      </c>
      <c r="D6" s="11">
        <v>250</v>
      </c>
      <c r="E6" s="21">
        <v>100</v>
      </c>
      <c r="F6" s="21">
        <v>150</v>
      </c>
      <c r="G6" s="21">
        <v>200</v>
      </c>
      <c r="H6" s="21">
        <v>300</v>
      </c>
      <c r="I6" s="21">
        <v>500</v>
      </c>
    </row>
    <row r="7" spans="2:9" x14ac:dyDescent="0.35">
      <c r="B7" s="17" t="s">
        <v>186</v>
      </c>
      <c r="C7" s="17"/>
      <c r="D7" s="15"/>
      <c r="E7" s="15"/>
      <c r="F7" s="15"/>
      <c r="G7" s="15"/>
      <c r="H7" s="15"/>
      <c r="I7" s="15"/>
    </row>
    <row r="8" spans="2:9" ht="15" outlineLevel="1" thickBot="1" x14ac:dyDescent="0.4">
      <c r="B8" s="18"/>
      <c r="C8" s="18" t="s">
        <v>175</v>
      </c>
      <c r="D8" s="12">
        <v>83400</v>
      </c>
      <c r="E8" s="12">
        <v>33360</v>
      </c>
      <c r="F8" s="12">
        <v>50040</v>
      </c>
      <c r="G8" s="12">
        <v>66720</v>
      </c>
      <c r="H8" s="12">
        <v>100080</v>
      </c>
      <c r="I8" s="12">
        <v>166800</v>
      </c>
    </row>
    <row r="9" spans="2:9" x14ac:dyDescent="0.35">
      <c r="B9" t="s">
        <v>187</v>
      </c>
    </row>
    <row r="10" spans="2:9" x14ac:dyDescent="0.35">
      <c r="B10" t="s">
        <v>188</v>
      </c>
    </row>
    <row r="11" spans="2:9" x14ac:dyDescent="0.35">
      <c r="B1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232A-B9F2-4A8D-B59C-05E8CDB0C7B2}">
  <dimension ref="B2:C9"/>
  <sheetViews>
    <sheetView workbookViewId="0">
      <selection activeCell="C9" sqref="C9"/>
    </sheetView>
  </sheetViews>
  <sheetFormatPr defaultRowHeight="14.5" x14ac:dyDescent="0.35"/>
  <cols>
    <col min="2" max="2" width="13" customWidth="1"/>
    <col min="3" max="3" width="12.81640625" customWidth="1"/>
  </cols>
  <sheetData>
    <row r="2" spans="2:3" x14ac:dyDescent="0.35">
      <c r="B2" s="7" t="s">
        <v>167</v>
      </c>
      <c r="C2" s="7"/>
    </row>
    <row r="3" spans="2:3" x14ac:dyDescent="0.35">
      <c r="B3" s="8" t="s">
        <v>3</v>
      </c>
      <c r="C3" s="8">
        <v>556</v>
      </c>
    </row>
    <row r="4" spans="2:3" x14ac:dyDescent="0.35">
      <c r="B4" s="8" t="s">
        <v>168</v>
      </c>
      <c r="C4" s="9">
        <v>250</v>
      </c>
    </row>
    <row r="5" spans="2:3" x14ac:dyDescent="0.35">
      <c r="B5" s="8" t="s">
        <v>169</v>
      </c>
      <c r="C5" s="9">
        <f>C3*C4</f>
        <v>139000</v>
      </c>
    </row>
    <row r="6" spans="2:3" x14ac:dyDescent="0.35">
      <c r="B6" s="8" t="s">
        <v>172</v>
      </c>
      <c r="C6" s="9">
        <f>10%*C5</f>
        <v>13900</v>
      </c>
    </row>
    <row r="7" spans="2:3" x14ac:dyDescent="0.35">
      <c r="B7" s="8" t="s">
        <v>170</v>
      </c>
      <c r="C7" s="9">
        <f>30%*C5</f>
        <v>41700</v>
      </c>
    </row>
    <row r="8" spans="2:3" x14ac:dyDescent="0.35">
      <c r="B8" s="8" t="s">
        <v>173</v>
      </c>
      <c r="C8" s="9">
        <f>C6+C7</f>
        <v>55600</v>
      </c>
    </row>
    <row r="9" spans="2:3" x14ac:dyDescent="0.35">
      <c r="B9" s="8" t="s">
        <v>171</v>
      </c>
      <c r="C9" s="9">
        <f>C5-C8</f>
        <v>83400</v>
      </c>
    </row>
  </sheetData>
  <scenarios current="3" sqref="C9">
    <scenario name="Avg price 100" locked="1" count="1" user="vanapalli jyosnai vardhan" comment="Created by vanapalli jyosnai vardhan on 11/28/2025">
      <inputCells r="C4" val="100" numFmtId="171"/>
    </scenario>
    <scenario name="Avg price 150" locked="1" count="1" user="vanapalli jyosnai vardhan" comment="Created by vanapalli jyosnai vardhan on 11/28/2025">
      <inputCells r="C4" val="150" numFmtId="171"/>
    </scenario>
    <scenario name="Avg price 200" locked="1" count="1" user="vanapalli jyosnai vardhan" comment="Created by vanapalli jyosnai vardhan on 11/28/2025">
      <inputCells r="C4" val="200" numFmtId="171"/>
    </scenario>
    <scenario name="Avg price 300" locked="1" count="1" user="vanapalli jyosnai vardhan" comment="Created by vanapalli jyosnai vardhan on 11/28/2025_x000a_Modified by vanapalli jyosnai vardhan on 11/28/2025">
      <inputCells r="C4" val="300" numFmtId="171"/>
    </scenario>
    <scenario name="Avg price 500" locked="1" count="1" user="vanapalli jyosnai vardhan" comment="Created by vanapalli jyosnai vardhan on 11/28/2025">
      <inputCells r="C4" val="500" numFmtId="171"/>
    </scenario>
  </scenarios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23D2-FD09-4AAB-B46C-07DC2B3437F2}">
  <dimension ref="A3:I44"/>
  <sheetViews>
    <sheetView tabSelected="1" topLeftCell="A35" workbookViewId="0">
      <selection activeCell="N30" sqref="N30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3" width="18.453125" bestFit="1" customWidth="1"/>
    <col min="4" max="4" width="14.81640625" bestFit="1" customWidth="1"/>
    <col min="5" max="5" width="5.7265625" bestFit="1" customWidth="1"/>
    <col min="6" max="6" width="5" bestFit="1" customWidth="1"/>
    <col min="7" max="7" width="10.36328125" bestFit="1" customWidth="1"/>
    <col min="8" max="8" width="6" bestFit="1" customWidth="1"/>
    <col min="9" max="9" width="10.36328125" bestFit="1" customWidth="1"/>
  </cols>
  <sheetData>
    <row r="3" spans="1:9" x14ac:dyDescent="0.35">
      <c r="A3" s="4" t="s">
        <v>161</v>
      </c>
      <c r="B3" s="4" t="s">
        <v>160</v>
      </c>
    </row>
    <row r="4" spans="1:9" x14ac:dyDescent="0.35">
      <c r="A4" s="4" t="s">
        <v>158</v>
      </c>
      <c r="B4" s="2" t="s">
        <v>20</v>
      </c>
      <c r="C4" s="2" t="s">
        <v>89</v>
      </c>
      <c r="D4" s="2" t="s">
        <v>86</v>
      </c>
      <c r="E4" s="2" t="s">
        <v>38</v>
      </c>
      <c r="F4" s="2" t="s">
        <v>30</v>
      </c>
      <c r="G4" s="2" t="s">
        <v>49</v>
      </c>
      <c r="H4" s="2" t="s">
        <v>46</v>
      </c>
      <c r="I4" s="2" t="s">
        <v>159</v>
      </c>
    </row>
    <row r="5" spans="1:9" x14ac:dyDescent="0.35">
      <c r="A5" s="5" t="s">
        <v>19</v>
      </c>
      <c r="B5" s="6">
        <v>21</v>
      </c>
      <c r="C5" s="6"/>
      <c r="D5" s="6"/>
      <c r="E5" s="6"/>
      <c r="F5" s="6"/>
      <c r="G5" s="6">
        <v>20</v>
      </c>
      <c r="H5" s="6">
        <v>18</v>
      </c>
      <c r="I5" s="6">
        <v>59</v>
      </c>
    </row>
    <row r="6" spans="1:9" x14ac:dyDescent="0.35">
      <c r="A6" s="5" t="s">
        <v>82</v>
      </c>
      <c r="B6" s="6">
        <v>8</v>
      </c>
      <c r="C6" s="6">
        <v>13</v>
      </c>
      <c r="D6" s="6">
        <v>6</v>
      </c>
      <c r="E6" s="6">
        <v>29</v>
      </c>
      <c r="F6" s="6"/>
      <c r="G6" s="6">
        <v>5</v>
      </c>
      <c r="H6" s="6">
        <v>15</v>
      </c>
      <c r="I6" s="6">
        <v>76</v>
      </c>
    </row>
    <row r="7" spans="1:9" x14ac:dyDescent="0.35">
      <c r="A7" s="5" t="s">
        <v>37</v>
      </c>
      <c r="B7" s="6">
        <v>11</v>
      </c>
      <c r="C7" s="6">
        <v>22</v>
      </c>
      <c r="D7" s="6">
        <v>35</v>
      </c>
      <c r="E7" s="6">
        <v>14</v>
      </c>
      <c r="F7" s="6">
        <v>23</v>
      </c>
      <c r="G7" s="6">
        <v>17</v>
      </c>
      <c r="H7" s="6">
        <v>19</v>
      </c>
      <c r="I7" s="6">
        <v>141</v>
      </c>
    </row>
    <row r="8" spans="1:9" x14ac:dyDescent="0.35">
      <c r="A8" s="5" t="s">
        <v>29</v>
      </c>
      <c r="B8" s="6">
        <v>23</v>
      </c>
      <c r="C8" s="6"/>
      <c r="D8" s="6"/>
      <c r="E8" s="6">
        <v>45</v>
      </c>
      <c r="F8" s="6">
        <v>35</v>
      </c>
      <c r="G8" s="6">
        <v>38</v>
      </c>
      <c r="H8" s="6">
        <v>37</v>
      </c>
      <c r="I8" s="6">
        <v>178</v>
      </c>
    </row>
    <row r="9" spans="1:9" x14ac:dyDescent="0.35">
      <c r="A9" s="5" t="s">
        <v>92</v>
      </c>
      <c r="B9" s="6"/>
      <c r="C9" s="6">
        <v>25</v>
      </c>
      <c r="D9" s="6">
        <v>38</v>
      </c>
      <c r="E9" s="6"/>
      <c r="F9" s="6"/>
      <c r="G9" s="6">
        <v>21</v>
      </c>
      <c r="H9" s="6">
        <v>18</v>
      </c>
      <c r="I9" s="6">
        <v>102</v>
      </c>
    </row>
    <row r="10" spans="1:9" x14ac:dyDescent="0.35">
      <c r="A10" s="5" t="s">
        <v>159</v>
      </c>
      <c r="B10" s="6">
        <v>63</v>
      </c>
      <c r="C10" s="6">
        <v>60</v>
      </c>
      <c r="D10" s="6">
        <v>79</v>
      </c>
      <c r="E10" s="6">
        <v>88</v>
      </c>
      <c r="F10" s="6">
        <v>58</v>
      </c>
      <c r="G10" s="6">
        <v>101</v>
      </c>
      <c r="H10" s="6">
        <v>107</v>
      </c>
      <c r="I10" s="6">
        <v>556</v>
      </c>
    </row>
    <row r="13" spans="1:9" x14ac:dyDescent="0.35">
      <c r="A13" s="4" t="s">
        <v>158</v>
      </c>
      <c r="B13" s="2" t="s">
        <v>162</v>
      </c>
      <c r="C13" s="2" t="s">
        <v>163</v>
      </c>
    </row>
    <row r="14" spans="1:9" x14ac:dyDescent="0.35">
      <c r="A14" s="5" t="s">
        <v>20</v>
      </c>
      <c r="B14" s="6">
        <v>1581.48</v>
      </c>
      <c r="C14" s="6">
        <v>15787.755500000001</v>
      </c>
    </row>
    <row r="15" spans="1:9" x14ac:dyDescent="0.35">
      <c r="A15" s="5" t="s">
        <v>89</v>
      </c>
      <c r="B15" s="6">
        <v>1396.44</v>
      </c>
      <c r="C15" s="6">
        <v>16280.57</v>
      </c>
    </row>
    <row r="16" spans="1:9" x14ac:dyDescent="0.35">
      <c r="A16" s="5" t="s">
        <v>86</v>
      </c>
      <c r="B16" s="6">
        <v>1654.3100000000002</v>
      </c>
      <c r="C16" s="6">
        <v>20817.693999999996</v>
      </c>
    </row>
    <row r="17" spans="1:3" x14ac:dyDescent="0.35">
      <c r="A17" s="5" t="s">
        <v>38</v>
      </c>
      <c r="B17" s="6">
        <v>3117.7400000000002</v>
      </c>
      <c r="C17" s="6">
        <v>28056.018500000002</v>
      </c>
    </row>
    <row r="18" spans="1:3" x14ac:dyDescent="0.35">
      <c r="A18" s="5" t="s">
        <v>30</v>
      </c>
      <c r="B18" s="6">
        <v>1394.18</v>
      </c>
      <c r="C18" s="6">
        <v>14009.3225</v>
      </c>
    </row>
    <row r="19" spans="1:3" x14ac:dyDescent="0.35">
      <c r="A19" s="5" t="s">
        <v>49</v>
      </c>
      <c r="B19" s="6">
        <v>3146.8399999999997</v>
      </c>
      <c r="C19" s="6">
        <v>30596.218999999997</v>
      </c>
    </row>
    <row r="20" spans="1:3" x14ac:dyDescent="0.35">
      <c r="A20" s="5" t="s">
        <v>46</v>
      </c>
      <c r="B20" s="6">
        <v>1754.52</v>
      </c>
      <c r="C20" s="6">
        <v>17040.010499999997</v>
      </c>
    </row>
    <row r="21" spans="1:3" x14ac:dyDescent="0.35">
      <c r="A21" s="5" t="s">
        <v>159</v>
      </c>
      <c r="B21" s="6">
        <v>14045.510000000002</v>
      </c>
      <c r="C21" s="6">
        <v>142587.59</v>
      </c>
    </row>
    <row r="24" spans="1:3" x14ac:dyDescent="0.35">
      <c r="A24" s="4" t="s">
        <v>158</v>
      </c>
      <c r="B24" s="2" t="s">
        <v>164</v>
      </c>
      <c r="C24" s="2" t="s">
        <v>163</v>
      </c>
    </row>
    <row r="25" spans="1:3" x14ac:dyDescent="0.35">
      <c r="A25" s="5" t="s">
        <v>67</v>
      </c>
      <c r="B25" s="6">
        <v>0.60000000000000009</v>
      </c>
      <c r="C25" s="6">
        <v>38964.5075</v>
      </c>
    </row>
    <row r="26" spans="1:3" x14ac:dyDescent="0.35">
      <c r="A26" s="5" t="s">
        <v>60</v>
      </c>
      <c r="B26" s="6">
        <v>0.65</v>
      </c>
      <c r="C26" s="6">
        <v>42847.919000000002</v>
      </c>
    </row>
    <row r="27" spans="1:3" x14ac:dyDescent="0.35">
      <c r="A27" s="5" t="s">
        <v>40</v>
      </c>
      <c r="B27" s="6">
        <v>0.8</v>
      </c>
      <c r="C27" s="6">
        <v>20685.538500000002</v>
      </c>
    </row>
    <row r="28" spans="1:3" x14ac:dyDescent="0.35">
      <c r="A28" s="5" t="s">
        <v>97</v>
      </c>
      <c r="B28" s="6">
        <v>0.25</v>
      </c>
      <c r="C28" s="6">
        <v>4418.6485000000002</v>
      </c>
    </row>
    <row r="29" spans="1:3" x14ac:dyDescent="0.35">
      <c r="A29" s="5" t="s">
        <v>32</v>
      </c>
      <c r="B29" s="6">
        <v>0.35000000000000003</v>
      </c>
      <c r="C29" s="6">
        <v>14095.833999999999</v>
      </c>
    </row>
    <row r="30" spans="1:3" x14ac:dyDescent="0.35">
      <c r="A30" s="5" t="s">
        <v>23</v>
      </c>
      <c r="B30" s="6">
        <v>0.6</v>
      </c>
      <c r="C30" s="6">
        <v>21575.142500000002</v>
      </c>
    </row>
    <row r="31" spans="1:3" x14ac:dyDescent="0.35">
      <c r="A31" s="5" t="s">
        <v>159</v>
      </c>
      <c r="B31" s="6">
        <v>3.25</v>
      </c>
      <c r="C31" s="6">
        <v>142587.59</v>
      </c>
    </row>
    <row r="36" spans="1:4" x14ac:dyDescent="0.35">
      <c r="A36" s="4" t="s">
        <v>158</v>
      </c>
      <c r="B36" s="2" t="s">
        <v>161</v>
      </c>
      <c r="C36" s="2" t="s">
        <v>165</v>
      </c>
      <c r="D36" s="2" t="s">
        <v>166</v>
      </c>
    </row>
    <row r="37" spans="1:4" x14ac:dyDescent="0.35">
      <c r="A37" s="5" t="s">
        <v>20</v>
      </c>
      <c r="B37" s="6">
        <v>63</v>
      </c>
      <c r="C37" s="6">
        <v>182.12</v>
      </c>
      <c r="D37" s="6">
        <v>2</v>
      </c>
    </row>
    <row r="38" spans="1:4" x14ac:dyDescent="0.35">
      <c r="A38" s="5" t="s">
        <v>89</v>
      </c>
      <c r="B38" s="6">
        <v>60</v>
      </c>
      <c r="C38" s="6">
        <v>91.460000000000008</v>
      </c>
      <c r="D38" s="6">
        <v>0</v>
      </c>
    </row>
    <row r="39" spans="1:4" x14ac:dyDescent="0.35">
      <c r="A39" s="5" t="s">
        <v>86</v>
      </c>
      <c r="B39" s="6">
        <v>79</v>
      </c>
      <c r="C39" s="6">
        <v>186.35999999999999</v>
      </c>
      <c r="D39" s="6">
        <v>1</v>
      </c>
    </row>
    <row r="40" spans="1:4" x14ac:dyDescent="0.35">
      <c r="A40" s="5" t="s">
        <v>38</v>
      </c>
      <c r="B40" s="6">
        <v>88</v>
      </c>
      <c r="C40" s="6">
        <v>200.82999999999998</v>
      </c>
      <c r="D40" s="6">
        <v>2</v>
      </c>
    </row>
    <row r="41" spans="1:4" x14ac:dyDescent="0.35">
      <c r="A41" s="5" t="s">
        <v>30</v>
      </c>
      <c r="B41" s="6">
        <v>58</v>
      </c>
      <c r="C41" s="6">
        <v>150.15</v>
      </c>
      <c r="D41" s="6">
        <v>1</v>
      </c>
    </row>
    <row r="42" spans="1:4" x14ac:dyDescent="0.35">
      <c r="A42" s="5" t="s">
        <v>49</v>
      </c>
      <c r="B42" s="6">
        <v>101</v>
      </c>
      <c r="C42" s="6">
        <v>217.29000000000005</v>
      </c>
      <c r="D42" s="6">
        <v>1</v>
      </c>
    </row>
    <row r="43" spans="1:4" x14ac:dyDescent="0.35">
      <c r="A43" s="5" t="s">
        <v>46</v>
      </c>
      <c r="B43" s="6">
        <v>107</v>
      </c>
      <c r="C43" s="6">
        <v>291.78000000000003</v>
      </c>
      <c r="D43" s="6">
        <v>5</v>
      </c>
    </row>
    <row r="44" spans="1:4" x14ac:dyDescent="0.35">
      <c r="A44" s="5" t="s">
        <v>159</v>
      </c>
      <c r="B44" s="6">
        <v>556</v>
      </c>
      <c r="C44" s="6">
        <v>1319.99</v>
      </c>
      <c r="D44" s="6">
        <v>12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EED1-1D47-4BEC-A2D5-CCE112E7053C}">
  <dimension ref="A1:S52"/>
  <sheetViews>
    <sheetView topLeftCell="A17" workbookViewId="0">
      <selection activeCell="E10" sqref="E10"/>
    </sheetView>
  </sheetViews>
  <sheetFormatPr defaultRowHeight="14.5" x14ac:dyDescent="0.35"/>
  <cols>
    <col min="1" max="1" width="11" customWidth="1"/>
    <col min="2" max="2" width="15.453125" customWidth="1"/>
    <col min="3" max="3" width="12.26953125" customWidth="1"/>
    <col min="4" max="4" width="13.1796875" customWidth="1"/>
    <col min="5" max="5" width="11.90625" customWidth="1"/>
    <col min="6" max="6" width="14.26953125" customWidth="1"/>
    <col min="7" max="7" width="17.7265625" customWidth="1"/>
    <col min="8" max="8" width="11.453125" customWidth="1"/>
    <col min="9" max="9" width="12.54296875" customWidth="1"/>
    <col min="10" max="10" width="12.7265625" customWidth="1"/>
    <col min="11" max="11" width="15.6328125" customWidth="1"/>
    <col min="12" max="12" width="11.6328125" customWidth="1"/>
    <col min="13" max="13" width="13.36328125" customWidth="1"/>
    <col min="14" max="14" width="10.81640625" customWidth="1"/>
    <col min="15" max="15" width="16.26953125" customWidth="1"/>
    <col min="16" max="16" width="13" customWidth="1"/>
    <col min="17" max="17" width="14.54296875" customWidth="1"/>
    <col min="18" max="18" width="13.1796875" customWidth="1"/>
    <col min="19" max="19" width="17.45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3">
        <v>45788</v>
      </c>
      <c r="B2" s="2" t="s">
        <v>19</v>
      </c>
      <c r="C2" s="2" t="s">
        <v>20</v>
      </c>
      <c r="D2" s="2">
        <v>15</v>
      </c>
      <c r="E2" s="2">
        <v>210.94</v>
      </c>
      <c r="F2" s="2" t="s">
        <v>21</v>
      </c>
      <c r="G2" s="2" t="s">
        <v>22</v>
      </c>
      <c r="H2" s="2">
        <v>0.05</v>
      </c>
      <c r="I2" s="2" t="s">
        <v>23</v>
      </c>
      <c r="J2" s="2">
        <v>3005.895</v>
      </c>
      <c r="K2" s="2" t="s">
        <v>24</v>
      </c>
      <c r="L2" s="2" t="s">
        <v>25</v>
      </c>
      <c r="M2" s="2">
        <v>0</v>
      </c>
      <c r="N2" s="2" t="s">
        <v>26</v>
      </c>
      <c r="O2" s="2" t="s">
        <v>27</v>
      </c>
      <c r="P2" s="2">
        <v>10.91</v>
      </c>
      <c r="Q2" s="3">
        <v>45788</v>
      </c>
      <c r="R2" s="3">
        <v>45798</v>
      </c>
      <c r="S2" s="2" t="s">
        <v>28</v>
      </c>
    </row>
    <row r="3" spans="1:19" x14ac:dyDescent="0.35">
      <c r="A3" s="3">
        <v>45354</v>
      </c>
      <c r="B3" s="2" t="s">
        <v>29</v>
      </c>
      <c r="C3" s="2" t="s">
        <v>30</v>
      </c>
      <c r="D3" s="2">
        <v>9</v>
      </c>
      <c r="E3" s="2">
        <v>382.8</v>
      </c>
      <c r="F3" s="2" t="s">
        <v>31</v>
      </c>
      <c r="G3" s="2" t="s">
        <v>22</v>
      </c>
      <c r="H3" s="2">
        <v>0</v>
      </c>
      <c r="I3" s="2" t="s">
        <v>32</v>
      </c>
      <c r="J3" s="2">
        <v>3445.2</v>
      </c>
      <c r="K3" s="2" t="s">
        <v>33</v>
      </c>
      <c r="L3" s="2"/>
      <c r="M3" s="2">
        <v>0</v>
      </c>
      <c r="N3" s="2" t="s">
        <v>34</v>
      </c>
      <c r="O3" s="2" t="s">
        <v>35</v>
      </c>
      <c r="P3" s="2">
        <v>47.94</v>
      </c>
      <c r="Q3" s="3">
        <v>45354</v>
      </c>
      <c r="R3" s="3">
        <v>45356</v>
      </c>
      <c r="S3" s="2" t="s">
        <v>36</v>
      </c>
    </row>
    <row r="4" spans="1:19" x14ac:dyDescent="0.35">
      <c r="A4" s="3">
        <v>45677</v>
      </c>
      <c r="B4" s="2" t="s">
        <v>37</v>
      </c>
      <c r="C4" s="2" t="s">
        <v>38</v>
      </c>
      <c r="D4" s="2">
        <v>3</v>
      </c>
      <c r="E4" s="2">
        <v>386.29</v>
      </c>
      <c r="F4" s="2" t="s">
        <v>21</v>
      </c>
      <c r="G4" s="2" t="s">
        <v>39</v>
      </c>
      <c r="H4" s="2">
        <v>0.15</v>
      </c>
      <c r="I4" s="2" t="s">
        <v>40</v>
      </c>
      <c r="J4" s="2">
        <v>985.03950000000009</v>
      </c>
      <c r="K4" s="2" t="s">
        <v>41</v>
      </c>
      <c r="L4" s="2" t="s">
        <v>42</v>
      </c>
      <c r="M4" s="2">
        <v>0</v>
      </c>
      <c r="N4" s="2" t="s">
        <v>43</v>
      </c>
      <c r="O4" s="2" t="s">
        <v>44</v>
      </c>
      <c r="P4" s="2">
        <v>32.450000000000003</v>
      </c>
      <c r="Q4" s="3">
        <v>45677</v>
      </c>
      <c r="R4" s="3">
        <v>45687</v>
      </c>
      <c r="S4" s="2" t="s">
        <v>45</v>
      </c>
    </row>
    <row r="5" spans="1:19" x14ac:dyDescent="0.35">
      <c r="A5" s="3">
        <v>45738</v>
      </c>
      <c r="B5" s="2" t="s">
        <v>37</v>
      </c>
      <c r="C5" s="2" t="s">
        <v>46</v>
      </c>
      <c r="D5" s="2">
        <v>5</v>
      </c>
      <c r="E5" s="2">
        <v>225.99</v>
      </c>
      <c r="F5" s="2" t="s">
        <v>21</v>
      </c>
      <c r="G5" s="2" t="s">
        <v>39</v>
      </c>
      <c r="H5" s="2">
        <v>0</v>
      </c>
      <c r="I5" s="2" t="s">
        <v>32</v>
      </c>
      <c r="J5" s="2">
        <v>1129.95</v>
      </c>
      <c r="K5" s="2" t="s">
        <v>24</v>
      </c>
      <c r="L5" s="2" t="s">
        <v>25</v>
      </c>
      <c r="M5" s="2">
        <v>1</v>
      </c>
      <c r="N5" s="2" t="s">
        <v>47</v>
      </c>
      <c r="O5" s="2" t="s">
        <v>48</v>
      </c>
      <c r="P5" s="2">
        <v>10.88</v>
      </c>
      <c r="Q5" s="3">
        <v>45738</v>
      </c>
      <c r="R5" s="3">
        <v>45746</v>
      </c>
      <c r="S5" s="2" t="s">
        <v>45</v>
      </c>
    </row>
    <row r="6" spans="1:19" x14ac:dyDescent="0.35">
      <c r="A6" s="3">
        <v>45744</v>
      </c>
      <c r="B6" s="2" t="s">
        <v>29</v>
      </c>
      <c r="C6" s="2" t="s">
        <v>49</v>
      </c>
      <c r="D6" s="2">
        <v>20</v>
      </c>
      <c r="E6" s="2">
        <v>312.56</v>
      </c>
      <c r="F6" s="2" t="s">
        <v>31</v>
      </c>
      <c r="G6" s="2" t="s">
        <v>39</v>
      </c>
      <c r="H6" s="2">
        <v>0.15</v>
      </c>
      <c r="I6" s="2" t="s">
        <v>23</v>
      </c>
      <c r="J6" s="2">
        <v>5313.52</v>
      </c>
      <c r="K6" s="2" t="s">
        <v>50</v>
      </c>
      <c r="L6" s="2" t="s">
        <v>51</v>
      </c>
      <c r="M6" s="2">
        <v>0</v>
      </c>
      <c r="N6" s="2" t="s">
        <v>52</v>
      </c>
      <c r="O6" s="2" t="s">
        <v>53</v>
      </c>
      <c r="P6" s="2">
        <v>47.39</v>
      </c>
      <c r="Q6" s="3">
        <v>45744</v>
      </c>
      <c r="R6" s="3">
        <v>45746</v>
      </c>
      <c r="S6" s="2" t="s">
        <v>36</v>
      </c>
    </row>
    <row r="7" spans="1:19" x14ac:dyDescent="0.35">
      <c r="A7" s="3">
        <v>45705</v>
      </c>
      <c r="B7" s="2" t="s">
        <v>37</v>
      </c>
      <c r="C7" s="2" t="s">
        <v>30</v>
      </c>
      <c r="D7" s="2">
        <v>13</v>
      </c>
      <c r="E7" s="2">
        <v>433.77</v>
      </c>
      <c r="F7" s="2" t="s">
        <v>21</v>
      </c>
      <c r="G7" s="2" t="s">
        <v>22</v>
      </c>
      <c r="H7" s="2">
        <v>0.05</v>
      </c>
      <c r="I7" s="2" t="s">
        <v>23</v>
      </c>
      <c r="J7" s="2">
        <v>5357.0595000000003</v>
      </c>
      <c r="K7" s="2" t="s">
        <v>33</v>
      </c>
      <c r="L7" s="2" t="s">
        <v>42</v>
      </c>
      <c r="M7" s="2">
        <v>0</v>
      </c>
      <c r="N7" s="2" t="s">
        <v>54</v>
      </c>
      <c r="O7" s="2" t="s">
        <v>55</v>
      </c>
      <c r="P7" s="2">
        <v>17.61</v>
      </c>
      <c r="Q7" s="3">
        <v>45705</v>
      </c>
      <c r="R7" s="3">
        <v>45709</v>
      </c>
      <c r="S7" s="2" t="s">
        <v>45</v>
      </c>
    </row>
    <row r="8" spans="1:19" x14ac:dyDescent="0.35">
      <c r="A8" s="3">
        <v>45604</v>
      </c>
      <c r="B8" s="2" t="s">
        <v>29</v>
      </c>
      <c r="C8" s="2" t="s">
        <v>46</v>
      </c>
      <c r="D8" s="2">
        <v>20</v>
      </c>
      <c r="E8" s="2">
        <v>159.33000000000001</v>
      </c>
      <c r="F8" s="2" t="s">
        <v>56</v>
      </c>
      <c r="G8" s="2" t="s">
        <v>22</v>
      </c>
      <c r="H8" s="2">
        <v>0</v>
      </c>
      <c r="I8" s="2" t="s">
        <v>32</v>
      </c>
      <c r="J8" s="2">
        <v>3186.6</v>
      </c>
      <c r="K8" s="2" t="s">
        <v>24</v>
      </c>
      <c r="L8" s="2" t="s">
        <v>42</v>
      </c>
      <c r="M8" s="2">
        <v>0</v>
      </c>
      <c r="N8" s="2" t="s">
        <v>57</v>
      </c>
      <c r="O8" s="2" t="s">
        <v>58</v>
      </c>
      <c r="P8" s="2">
        <v>26.32</v>
      </c>
      <c r="Q8" s="3">
        <v>45604</v>
      </c>
      <c r="R8" s="3">
        <v>45607</v>
      </c>
      <c r="S8" s="2" t="s">
        <v>36</v>
      </c>
    </row>
    <row r="9" spans="1:19" x14ac:dyDescent="0.35">
      <c r="A9" s="3">
        <v>45368</v>
      </c>
      <c r="B9" s="2" t="s">
        <v>29</v>
      </c>
      <c r="C9" s="2" t="s">
        <v>30</v>
      </c>
      <c r="D9" s="2">
        <v>18</v>
      </c>
      <c r="E9" s="2">
        <v>32.229999999999997</v>
      </c>
      <c r="F9" s="2" t="s">
        <v>59</v>
      </c>
      <c r="G9" s="2" t="s">
        <v>39</v>
      </c>
      <c r="H9" s="2">
        <v>0.05</v>
      </c>
      <c r="I9" s="2" t="s">
        <v>60</v>
      </c>
      <c r="J9" s="2">
        <v>551.13299999999992</v>
      </c>
      <c r="K9" s="2" t="s">
        <v>41</v>
      </c>
      <c r="L9" s="2" t="s">
        <v>42</v>
      </c>
      <c r="M9" s="2">
        <v>0</v>
      </c>
      <c r="N9" s="2" t="s">
        <v>61</v>
      </c>
      <c r="O9" s="2" t="s">
        <v>62</v>
      </c>
      <c r="P9" s="2">
        <v>6.04</v>
      </c>
      <c r="Q9" s="3">
        <v>45368</v>
      </c>
      <c r="R9" s="3">
        <v>45372</v>
      </c>
      <c r="S9" s="2" t="s">
        <v>36</v>
      </c>
    </row>
    <row r="10" spans="1:19" x14ac:dyDescent="0.35">
      <c r="A10" s="3">
        <v>45167</v>
      </c>
      <c r="B10" s="2" t="s">
        <v>29</v>
      </c>
      <c r="C10" s="2" t="s">
        <v>38</v>
      </c>
      <c r="D10" s="2">
        <v>3</v>
      </c>
      <c r="E10" s="2">
        <v>527.77</v>
      </c>
      <c r="F10" s="2" t="s">
        <v>21</v>
      </c>
      <c r="G10" s="2" t="s">
        <v>39</v>
      </c>
      <c r="H10" s="2">
        <v>0.1</v>
      </c>
      <c r="I10" s="2" t="s">
        <v>60</v>
      </c>
      <c r="J10" s="2">
        <v>1424.979</v>
      </c>
      <c r="K10" s="2" t="s">
        <v>33</v>
      </c>
      <c r="L10" s="2" t="s">
        <v>42</v>
      </c>
      <c r="M10" s="2">
        <v>0</v>
      </c>
      <c r="N10" s="2" t="s">
        <v>63</v>
      </c>
      <c r="O10" s="2" t="s">
        <v>64</v>
      </c>
      <c r="P10" s="2">
        <v>48.66</v>
      </c>
      <c r="Q10" s="3">
        <v>45167</v>
      </c>
      <c r="R10" s="3">
        <v>45170</v>
      </c>
      <c r="S10" s="2" t="s">
        <v>36</v>
      </c>
    </row>
    <row r="11" spans="1:19" x14ac:dyDescent="0.35">
      <c r="A11" s="3">
        <v>45099</v>
      </c>
      <c r="B11" s="2" t="s">
        <v>29</v>
      </c>
      <c r="C11" s="2" t="s">
        <v>20</v>
      </c>
      <c r="D11" s="2">
        <v>14</v>
      </c>
      <c r="E11" s="2">
        <v>291.08999999999997</v>
      </c>
      <c r="F11" s="2" t="s">
        <v>56</v>
      </c>
      <c r="G11" s="2" t="s">
        <v>39</v>
      </c>
      <c r="H11" s="2">
        <v>0</v>
      </c>
      <c r="I11" s="2" t="s">
        <v>40</v>
      </c>
      <c r="J11" s="2">
        <v>4075.26</v>
      </c>
      <c r="K11" s="2" t="s">
        <v>33</v>
      </c>
      <c r="L11" s="2"/>
      <c r="M11" s="2">
        <v>0</v>
      </c>
      <c r="N11" s="2" t="s">
        <v>65</v>
      </c>
      <c r="O11" s="2" t="s">
        <v>66</v>
      </c>
      <c r="P11" s="2">
        <v>39.979999999999997</v>
      </c>
      <c r="Q11" s="3">
        <v>45099</v>
      </c>
      <c r="R11" s="3">
        <v>45107</v>
      </c>
      <c r="S11" s="2" t="s">
        <v>36</v>
      </c>
    </row>
    <row r="12" spans="1:19" x14ac:dyDescent="0.35">
      <c r="A12" s="3">
        <v>45346</v>
      </c>
      <c r="B12" s="2" t="s">
        <v>29</v>
      </c>
      <c r="C12" s="2" t="s">
        <v>30</v>
      </c>
      <c r="D12" s="2">
        <v>8</v>
      </c>
      <c r="E12" s="2">
        <v>350.12</v>
      </c>
      <c r="F12" s="2" t="s">
        <v>21</v>
      </c>
      <c r="G12" s="2" t="s">
        <v>39</v>
      </c>
      <c r="H12" s="2">
        <v>0</v>
      </c>
      <c r="I12" s="2" t="s">
        <v>67</v>
      </c>
      <c r="J12" s="2">
        <v>2800.96</v>
      </c>
      <c r="K12" s="2" t="s">
        <v>50</v>
      </c>
      <c r="L12" s="2" t="s">
        <v>42</v>
      </c>
      <c r="M12" s="2">
        <v>1</v>
      </c>
      <c r="N12" s="2" t="s">
        <v>68</v>
      </c>
      <c r="O12" s="2" t="s">
        <v>69</v>
      </c>
      <c r="P12" s="2">
        <v>31.65</v>
      </c>
      <c r="Q12" s="3">
        <v>45346</v>
      </c>
      <c r="R12" s="3">
        <v>45352</v>
      </c>
      <c r="S12" s="2" t="s">
        <v>36</v>
      </c>
    </row>
    <row r="13" spans="1:19" x14ac:dyDescent="0.35">
      <c r="A13" s="3">
        <v>45392</v>
      </c>
      <c r="B13" s="2" t="s">
        <v>37</v>
      </c>
      <c r="C13" s="2" t="s">
        <v>30</v>
      </c>
      <c r="D13" s="2">
        <v>10</v>
      </c>
      <c r="E13" s="2">
        <v>195.26</v>
      </c>
      <c r="F13" s="2" t="s">
        <v>31</v>
      </c>
      <c r="G13" s="2" t="s">
        <v>39</v>
      </c>
      <c r="H13" s="2">
        <v>0.05</v>
      </c>
      <c r="I13" s="2" t="s">
        <v>67</v>
      </c>
      <c r="J13" s="2">
        <v>1854.97</v>
      </c>
      <c r="K13" s="2" t="s">
        <v>41</v>
      </c>
      <c r="L13" s="2" t="s">
        <v>51</v>
      </c>
      <c r="M13" s="2">
        <v>0</v>
      </c>
      <c r="N13" s="2" t="s">
        <v>70</v>
      </c>
      <c r="O13" s="2" t="s">
        <v>71</v>
      </c>
      <c r="P13" s="2">
        <v>46.91</v>
      </c>
      <c r="Q13" s="3">
        <v>45392</v>
      </c>
      <c r="R13" s="3">
        <v>45397</v>
      </c>
      <c r="S13" s="2" t="s">
        <v>45</v>
      </c>
    </row>
    <row r="14" spans="1:19" x14ac:dyDescent="0.35">
      <c r="A14" s="3">
        <v>45060</v>
      </c>
      <c r="B14" s="2" t="s">
        <v>29</v>
      </c>
      <c r="C14" s="2" t="s">
        <v>38</v>
      </c>
      <c r="D14" s="2">
        <v>13</v>
      </c>
      <c r="E14" s="2">
        <v>291.10000000000002</v>
      </c>
      <c r="F14" s="2" t="s">
        <v>56</v>
      </c>
      <c r="G14" s="2" t="s">
        <v>22</v>
      </c>
      <c r="H14" s="2">
        <v>0</v>
      </c>
      <c r="I14" s="2" t="s">
        <v>67</v>
      </c>
      <c r="J14" s="2">
        <v>3784.3</v>
      </c>
      <c r="K14" s="2" t="s">
        <v>24</v>
      </c>
      <c r="L14" s="2" t="s">
        <v>42</v>
      </c>
      <c r="M14" s="2">
        <v>0</v>
      </c>
      <c r="N14" s="2" t="s">
        <v>72</v>
      </c>
      <c r="O14" s="2" t="s">
        <v>73</v>
      </c>
      <c r="P14" s="2">
        <v>7.66</v>
      </c>
      <c r="Q14" s="3">
        <v>45060</v>
      </c>
      <c r="R14" s="3">
        <v>45065</v>
      </c>
      <c r="S14" s="2" t="s">
        <v>36</v>
      </c>
    </row>
    <row r="15" spans="1:19" x14ac:dyDescent="0.35">
      <c r="A15" s="3">
        <v>44996</v>
      </c>
      <c r="B15" s="2" t="s">
        <v>29</v>
      </c>
      <c r="C15" s="2" t="s">
        <v>38</v>
      </c>
      <c r="D15" s="2">
        <v>6</v>
      </c>
      <c r="E15" s="2">
        <v>93.92</v>
      </c>
      <c r="F15" s="2" t="s">
        <v>59</v>
      </c>
      <c r="G15" s="2" t="s">
        <v>22</v>
      </c>
      <c r="H15" s="2">
        <v>0.15</v>
      </c>
      <c r="I15" s="2" t="s">
        <v>32</v>
      </c>
      <c r="J15" s="2">
        <v>478.99200000000002</v>
      </c>
      <c r="K15" s="2" t="s">
        <v>41</v>
      </c>
      <c r="L15" s="2" t="s">
        <v>42</v>
      </c>
      <c r="M15" s="2">
        <v>0</v>
      </c>
      <c r="N15" s="2" t="s">
        <v>74</v>
      </c>
      <c r="O15" s="2" t="s">
        <v>75</v>
      </c>
      <c r="P15" s="2">
        <v>11</v>
      </c>
      <c r="Q15" s="3">
        <v>44996</v>
      </c>
      <c r="R15" s="3">
        <v>45003</v>
      </c>
      <c r="S15" s="2" t="s">
        <v>36</v>
      </c>
    </row>
    <row r="16" spans="1:19" x14ac:dyDescent="0.35">
      <c r="A16" s="3">
        <v>45528</v>
      </c>
      <c r="B16" s="2" t="s">
        <v>19</v>
      </c>
      <c r="C16" s="2" t="s">
        <v>49</v>
      </c>
      <c r="D16" s="2">
        <v>5</v>
      </c>
      <c r="E16" s="2">
        <v>15.92</v>
      </c>
      <c r="F16" s="2" t="s">
        <v>31</v>
      </c>
      <c r="G16" s="2" t="s">
        <v>39</v>
      </c>
      <c r="H16" s="2">
        <v>0</v>
      </c>
      <c r="I16" s="2" t="s">
        <v>32</v>
      </c>
      <c r="J16" s="2">
        <v>79.599999999999994</v>
      </c>
      <c r="K16" s="2" t="s">
        <v>41</v>
      </c>
      <c r="L16" s="2"/>
      <c r="M16" s="2">
        <v>1</v>
      </c>
      <c r="N16" s="2" t="s">
        <v>76</v>
      </c>
      <c r="O16" s="2" t="s">
        <v>77</v>
      </c>
      <c r="P16" s="2">
        <v>8.66</v>
      </c>
      <c r="Q16" s="3">
        <v>45528</v>
      </c>
      <c r="R16" s="3">
        <v>45530</v>
      </c>
      <c r="S16" s="2" t="s">
        <v>28</v>
      </c>
    </row>
    <row r="17" spans="1:19" x14ac:dyDescent="0.35">
      <c r="A17" s="3">
        <v>45345</v>
      </c>
      <c r="B17" s="2" t="s">
        <v>29</v>
      </c>
      <c r="C17" s="2" t="s">
        <v>38</v>
      </c>
      <c r="D17" s="2">
        <v>16</v>
      </c>
      <c r="E17" s="2">
        <v>120.22</v>
      </c>
      <c r="F17" s="2" t="s">
        <v>31</v>
      </c>
      <c r="G17" s="2" t="s">
        <v>39</v>
      </c>
      <c r="H17" s="2">
        <v>0.15</v>
      </c>
      <c r="I17" s="2" t="s">
        <v>60</v>
      </c>
      <c r="J17" s="2">
        <v>1634.992</v>
      </c>
      <c r="K17" s="2" t="s">
        <v>33</v>
      </c>
      <c r="L17" s="2" t="s">
        <v>25</v>
      </c>
      <c r="M17" s="2">
        <v>0</v>
      </c>
      <c r="N17" s="2" t="s">
        <v>78</v>
      </c>
      <c r="O17" s="2" t="s">
        <v>79</v>
      </c>
      <c r="P17" s="2">
        <v>8.42</v>
      </c>
      <c r="Q17" s="3">
        <v>45345</v>
      </c>
      <c r="R17" s="3">
        <v>45352</v>
      </c>
      <c r="S17" s="2" t="s">
        <v>36</v>
      </c>
    </row>
    <row r="18" spans="1:19" x14ac:dyDescent="0.35">
      <c r="A18" s="3">
        <v>45321</v>
      </c>
      <c r="B18" s="2" t="s">
        <v>37</v>
      </c>
      <c r="C18" s="2" t="s">
        <v>38</v>
      </c>
      <c r="D18" s="2">
        <v>11</v>
      </c>
      <c r="E18" s="2">
        <v>118.8</v>
      </c>
      <c r="F18" s="2" t="s">
        <v>56</v>
      </c>
      <c r="G18" s="2" t="s">
        <v>39</v>
      </c>
      <c r="H18" s="2">
        <v>0.05</v>
      </c>
      <c r="I18" s="2" t="s">
        <v>32</v>
      </c>
      <c r="J18" s="2">
        <v>1241.46</v>
      </c>
      <c r="K18" s="2" t="s">
        <v>24</v>
      </c>
      <c r="L18" s="2" t="s">
        <v>25</v>
      </c>
      <c r="M18" s="2">
        <v>0</v>
      </c>
      <c r="N18" s="2" t="s">
        <v>80</v>
      </c>
      <c r="O18" s="2" t="s">
        <v>81</v>
      </c>
      <c r="P18" s="2">
        <v>39.32</v>
      </c>
      <c r="Q18" s="3">
        <v>45321</v>
      </c>
      <c r="R18" s="3">
        <v>45328</v>
      </c>
      <c r="S18" s="2" t="s">
        <v>45</v>
      </c>
    </row>
    <row r="19" spans="1:19" x14ac:dyDescent="0.35">
      <c r="A19" s="3">
        <v>45314</v>
      </c>
      <c r="B19" s="2" t="s">
        <v>82</v>
      </c>
      <c r="C19" s="2" t="s">
        <v>46</v>
      </c>
      <c r="D19" s="2">
        <v>10</v>
      </c>
      <c r="E19" s="2">
        <v>92.45</v>
      </c>
      <c r="F19" s="2" t="s">
        <v>21</v>
      </c>
      <c r="G19" s="2" t="s">
        <v>22</v>
      </c>
      <c r="H19" s="2">
        <v>0.1</v>
      </c>
      <c r="I19" s="2" t="s">
        <v>23</v>
      </c>
      <c r="J19" s="2">
        <v>832.05000000000007</v>
      </c>
      <c r="K19" s="2" t="s">
        <v>33</v>
      </c>
      <c r="L19" s="2" t="s">
        <v>51</v>
      </c>
      <c r="M19" s="2">
        <v>1</v>
      </c>
      <c r="N19" s="2" t="s">
        <v>83</v>
      </c>
      <c r="O19" s="2" t="s">
        <v>84</v>
      </c>
      <c r="P19" s="2">
        <v>42.61</v>
      </c>
      <c r="Q19" s="3">
        <v>45314</v>
      </c>
      <c r="R19" s="3">
        <v>45320</v>
      </c>
      <c r="S19" s="2" t="s">
        <v>85</v>
      </c>
    </row>
    <row r="20" spans="1:19" x14ac:dyDescent="0.35">
      <c r="A20" s="3">
        <v>44931</v>
      </c>
      <c r="B20" s="2" t="s">
        <v>37</v>
      </c>
      <c r="C20" s="2" t="s">
        <v>86</v>
      </c>
      <c r="D20" s="2">
        <v>19</v>
      </c>
      <c r="E20" s="2">
        <v>463.51</v>
      </c>
      <c r="F20" s="2" t="s">
        <v>59</v>
      </c>
      <c r="G20" s="2" t="s">
        <v>39</v>
      </c>
      <c r="H20" s="2">
        <v>0</v>
      </c>
      <c r="I20" s="2" t="s">
        <v>60</v>
      </c>
      <c r="J20" s="2">
        <v>8806.69</v>
      </c>
      <c r="K20" s="2" t="s">
        <v>33</v>
      </c>
      <c r="L20" s="2" t="s">
        <v>42</v>
      </c>
      <c r="M20" s="2">
        <v>0</v>
      </c>
      <c r="N20" s="2" t="s">
        <v>87</v>
      </c>
      <c r="O20" s="2" t="s">
        <v>88</v>
      </c>
      <c r="P20" s="2">
        <v>49.38</v>
      </c>
      <c r="Q20" s="3">
        <v>44931</v>
      </c>
      <c r="R20" s="3">
        <v>44934</v>
      </c>
      <c r="S20" s="2" t="s">
        <v>45</v>
      </c>
    </row>
    <row r="21" spans="1:19" x14ac:dyDescent="0.35">
      <c r="A21" s="3">
        <v>45281</v>
      </c>
      <c r="B21" s="2" t="s">
        <v>37</v>
      </c>
      <c r="C21" s="2" t="s">
        <v>89</v>
      </c>
      <c r="D21" s="2">
        <v>7</v>
      </c>
      <c r="E21" s="2">
        <v>284.7</v>
      </c>
      <c r="F21" s="2" t="s">
        <v>31</v>
      </c>
      <c r="G21" s="2" t="s">
        <v>22</v>
      </c>
      <c r="H21" s="2">
        <v>0.05</v>
      </c>
      <c r="I21" s="2" t="s">
        <v>60</v>
      </c>
      <c r="J21" s="2">
        <v>1893.2550000000001</v>
      </c>
      <c r="K21" s="2" t="s">
        <v>50</v>
      </c>
      <c r="L21" s="2"/>
      <c r="M21" s="2">
        <v>0</v>
      </c>
      <c r="N21" s="2" t="s">
        <v>90</v>
      </c>
      <c r="O21" s="2" t="s">
        <v>91</v>
      </c>
      <c r="P21" s="2">
        <v>5.36</v>
      </c>
      <c r="Q21" s="3">
        <v>45281</v>
      </c>
      <c r="R21" s="3">
        <v>45290</v>
      </c>
      <c r="S21" s="2" t="s">
        <v>45</v>
      </c>
    </row>
    <row r="22" spans="1:19" x14ac:dyDescent="0.35">
      <c r="A22" s="3">
        <v>45071</v>
      </c>
      <c r="B22" s="2" t="s">
        <v>92</v>
      </c>
      <c r="C22" s="2" t="s">
        <v>86</v>
      </c>
      <c r="D22" s="2">
        <v>20</v>
      </c>
      <c r="E22" s="2">
        <v>343.25</v>
      </c>
      <c r="F22" s="2" t="s">
        <v>21</v>
      </c>
      <c r="G22" s="2" t="s">
        <v>22</v>
      </c>
      <c r="H22" s="2">
        <v>0.05</v>
      </c>
      <c r="I22" s="2" t="s">
        <v>67</v>
      </c>
      <c r="J22" s="2">
        <v>6521.75</v>
      </c>
      <c r="K22" s="2" t="s">
        <v>93</v>
      </c>
      <c r="L22" s="2" t="s">
        <v>42</v>
      </c>
      <c r="M22" s="2">
        <v>0</v>
      </c>
      <c r="N22" s="2" t="s">
        <v>94</v>
      </c>
      <c r="O22" s="2" t="s">
        <v>95</v>
      </c>
      <c r="P22" s="2">
        <v>28.77</v>
      </c>
      <c r="Q22" s="3">
        <v>45071</v>
      </c>
      <c r="R22" s="3">
        <v>45079</v>
      </c>
      <c r="S22" s="2" t="s">
        <v>96</v>
      </c>
    </row>
    <row r="23" spans="1:19" x14ac:dyDescent="0.35">
      <c r="A23" s="3">
        <v>45838</v>
      </c>
      <c r="B23" s="2" t="s">
        <v>19</v>
      </c>
      <c r="C23" s="2" t="s">
        <v>20</v>
      </c>
      <c r="D23" s="2">
        <v>6</v>
      </c>
      <c r="E23" s="2">
        <v>95.24</v>
      </c>
      <c r="F23" s="2" t="s">
        <v>31</v>
      </c>
      <c r="G23" s="2" t="s">
        <v>22</v>
      </c>
      <c r="H23" s="2">
        <v>0.15</v>
      </c>
      <c r="I23" s="2" t="s">
        <v>97</v>
      </c>
      <c r="J23" s="2">
        <v>485.72399999999988</v>
      </c>
      <c r="K23" s="2" t="s">
        <v>50</v>
      </c>
      <c r="L23" s="2" t="s">
        <v>42</v>
      </c>
      <c r="M23" s="2">
        <v>0</v>
      </c>
      <c r="N23" s="2" t="s">
        <v>98</v>
      </c>
      <c r="O23" s="2" t="s">
        <v>99</v>
      </c>
      <c r="P23" s="2">
        <v>18.72</v>
      </c>
      <c r="Q23" s="3">
        <v>45838</v>
      </c>
      <c r="R23" s="3">
        <v>45846</v>
      </c>
      <c r="S23" s="2" t="s">
        <v>28</v>
      </c>
    </row>
    <row r="24" spans="1:19" x14ac:dyDescent="0.35">
      <c r="A24" s="3">
        <v>45700</v>
      </c>
      <c r="B24" s="2" t="s">
        <v>92</v>
      </c>
      <c r="C24" s="2" t="s">
        <v>89</v>
      </c>
      <c r="D24" s="2">
        <v>13</v>
      </c>
      <c r="E24" s="2">
        <v>104.8</v>
      </c>
      <c r="F24" s="2" t="s">
        <v>59</v>
      </c>
      <c r="G24" s="2" t="s">
        <v>39</v>
      </c>
      <c r="H24" s="2">
        <v>0.05</v>
      </c>
      <c r="I24" s="2" t="s">
        <v>97</v>
      </c>
      <c r="J24" s="2">
        <v>1294.28</v>
      </c>
      <c r="K24" s="2" t="s">
        <v>41</v>
      </c>
      <c r="L24" s="2" t="s">
        <v>51</v>
      </c>
      <c r="M24" s="2">
        <v>0</v>
      </c>
      <c r="N24" s="2" t="s">
        <v>100</v>
      </c>
      <c r="O24" s="2" t="s">
        <v>101</v>
      </c>
      <c r="P24" s="2">
        <v>7.79</v>
      </c>
      <c r="Q24" s="3">
        <v>45700</v>
      </c>
      <c r="R24" s="3">
        <v>45707</v>
      </c>
      <c r="S24" s="2" t="s">
        <v>96</v>
      </c>
    </row>
    <row r="25" spans="1:19" x14ac:dyDescent="0.35">
      <c r="A25" s="3">
        <v>45294</v>
      </c>
      <c r="B25" s="2" t="s">
        <v>92</v>
      </c>
      <c r="C25" s="2" t="s">
        <v>46</v>
      </c>
      <c r="D25" s="2">
        <v>12</v>
      </c>
      <c r="E25" s="2">
        <v>164.31</v>
      </c>
      <c r="F25" s="2" t="s">
        <v>59</v>
      </c>
      <c r="G25" s="2" t="s">
        <v>22</v>
      </c>
      <c r="H25" s="2">
        <v>0.1</v>
      </c>
      <c r="I25" s="2" t="s">
        <v>32</v>
      </c>
      <c r="J25" s="2">
        <v>1774.548</v>
      </c>
      <c r="K25" s="2" t="s">
        <v>33</v>
      </c>
      <c r="L25" s="2"/>
      <c r="M25" s="2">
        <v>1</v>
      </c>
      <c r="N25" s="2" t="s">
        <v>102</v>
      </c>
      <c r="O25" s="2" t="s">
        <v>103</v>
      </c>
      <c r="P25" s="2">
        <v>38.9</v>
      </c>
      <c r="Q25" s="3">
        <v>45294</v>
      </c>
      <c r="R25" s="3">
        <v>45298</v>
      </c>
      <c r="S25" s="2" t="s">
        <v>96</v>
      </c>
    </row>
    <row r="26" spans="1:19" x14ac:dyDescent="0.35">
      <c r="A26" s="3">
        <v>44960</v>
      </c>
      <c r="B26" s="2" t="s">
        <v>29</v>
      </c>
      <c r="C26" s="2" t="s">
        <v>46</v>
      </c>
      <c r="D26" s="2">
        <v>10</v>
      </c>
      <c r="E26" s="2">
        <v>325.18</v>
      </c>
      <c r="F26" s="2" t="s">
        <v>21</v>
      </c>
      <c r="G26" s="2" t="s">
        <v>22</v>
      </c>
      <c r="H26" s="2">
        <v>0.1</v>
      </c>
      <c r="I26" s="2" t="s">
        <v>67</v>
      </c>
      <c r="J26" s="2">
        <v>2926.62</v>
      </c>
      <c r="K26" s="2" t="s">
        <v>33</v>
      </c>
      <c r="L26" s="2" t="s">
        <v>51</v>
      </c>
      <c r="M26" s="2">
        <v>0</v>
      </c>
      <c r="N26" s="2" t="s">
        <v>104</v>
      </c>
      <c r="O26" s="2" t="s">
        <v>105</v>
      </c>
      <c r="P26" s="2">
        <v>47.39</v>
      </c>
      <c r="Q26" s="3">
        <v>44960</v>
      </c>
      <c r="R26" s="3">
        <v>44970</v>
      </c>
      <c r="S26" s="2" t="s">
        <v>36</v>
      </c>
    </row>
    <row r="27" spans="1:19" x14ac:dyDescent="0.35">
      <c r="A27" s="3">
        <v>45352</v>
      </c>
      <c r="B27" s="2" t="s">
        <v>82</v>
      </c>
      <c r="C27" s="2" t="s">
        <v>38</v>
      </c>
      <c r="D27" s="2">
        <v>17</v>
      </c>
      <c r="E27" s="2">
        <v>542.82000000000005</v>
      </c>
      <c r="F27" s="2" t="s">
        <v>56</v>
      </c>
      <c r="G27" s="2" t="s">
        <v>22</v>
      </c>
      <c r="H27" s="2">
        <v>0</v>
      </c>
      <c r="I27" s="2" t="s">
        <v>67</v>
      </c>
      <c r="J27" s="2">
        <v>9227.94</v>
      </c>
      <c r="K27" s="2" t="s">
        <v>93</v>
      </c>
      <c r="L27" s="2" t="s">
        <v>51</v>
      </c>
      <c r="M27" s="2">
        <v>1</v>
      </c>
      <c r="N27" s="2" t="s">
        <v>106</v>
      </c>
      <c r="O27" s="2" t="s">
        <v>107</v>
      </c>
      <c r="P27" s="2">
        <v>7.13</v>
      </c>
      <c r="Q27" s="3">
        <v>45352</v>
      </c>
      <c r="R27" s="3">
        <v>45359</v>
      </c>
      <c r="S27" s="2" t="s">
        <v>85</v>
      </c>
    </row>
    <row r="28" spans="1:19" x14ac:dyDescent="0.35">
      <c r="A28" s="3">
        <v>45070</v>
      </c>
      <c r="B28" s="2" t="s">
        <v>37</v>
      </c>
      <c r="C28" s="2" t="s">
        <v>46</v>
      </c>
      <c r="D28" s="2">
        <v>14</v>
      </c>
      <c r="E28" s="2">
        <v>207.48</v>
      </c>
      <c r="F28" s="2" t="s">
        <v>21</v>
      </c>
      <c r="G28" s="2" t="s">
        <v>22</v>
      </c>
      <c r="H28" s="2">
        <v>0.05</v>
      </c>
      <c r="I28" s="2" t="s">
        <v>32</v>
      </c>
      <c r="J28" s="2">
        <v>2759.483999999999</v>
      </c>
      <c r="K28" s="2" t="s">
        <v>24</v>
      </c>
      <c r="L28" s="2"/>
      <c r="M28" s="2">
        <v>0</v>
      </c>
      <c r="N28" s="2" t="s">
        <v>108</v>
      </c>
      <c r="O28" s="2" t="s">
        <v>109</v>
      </c>
      <c r="P28" s="2">
        <v>5.7</v>
      </c>
      <c r="Q28" s="3">
        <v>45070</v>
      </c>
      <c r="R28" s="3">
        <v>45079</v>
      </c>
      <c r="S28" s="2" t="s">
        <v>45</v>
      </c>
    </row>
    <row r="29" spans="1:19" x14ac:dyDescent="0.35">
      <c r="A29" s="3">
        <v>45830</v>
      </c>
      <c r="B29" s="2" t="s">
        <v>37</v>
      </c>
      <c r="C29" s="2" t="s">
        <v>49</v>
      </c>
      <c r="D29" s="2">
        <v>17</v>
      </c>
      <c r="E29" s="2">
        <v>527.88</v>
      </c>
      <c r="F29" s="2" t="s">
        <v>31</v>
      </c>
      <c r="G29" s="2" t="s">
        <v>39</v>
      </c>
      <c r="H29" s="2">
        <v>0.05</v>
      </c>
      <c r="I29" s="2" t="s">
        <v>60</v>
      </c>
      <c r="J29" s="2">
        <v>8525.2619999999988</v>
      </c>
      <c r="K29" s="2" t="s">
        <v>33</v>
      </c>
      <c r="L29" s="2" t="s">
        <v>51</v>
      </c>
      <c r="M29" s="2">
        <v>0</v>
      </c>
      <c r="N29" s="2" t="s">
        <v>110</v>
      </c>
      <c r="O29" s="2" t="s">
        <v>111</v>
      </c>
      <c r="P29" s="2">
        <v>21.32</v>
      </c>
      <c r="Q29" s="3">
        <v>45830</v>
      </c>
      <c r="R29" s="3">
        <v>45836</v>
      </c>
      <c r="S29" s="2" t="s">
        <v>45</v>
      </c>
    </row>
    <row r="30" spans="1:19" x14ac:dyDescent="0.35">
      <c r="A30" s="3">
        <v>45026</v>
      </c>
      <c r="B30" s="2" t="s">
        <v>37</v>
      </c>
      <c r="C30" s="2" t="s">
        <v>20</v>
      </c>
      <c r="D30" s="2">
        <v>11</v>
      </c>
      <c r="E30" s="2">
        <v>71.209999999999994</v>
      </c>
      <c r="F30" s="2" t="s">
        <v>59</v>
      </c>
      <c r="G30" s="2" t="s">
        <v>39</v>
      </c>
      <c r="H30" s="2">
        <v>0.05</v>
      </c>
      <c r="I30" s="2" t="s">
        <v>97</v>
      </c>
      <c r="J30" s="2">
        <v>744.14449999999988</v>
      </c>
      <c r="K30" s="2" t="s">
        <v>24</v>
      </c>
      <c r="L30" s="2"/>
      <c r="M30" s="2">
        <v>1</v>
      </c>
      <c r="N30" s="2" t="s">
        <v>112</v>
      </c>
      <c r="O30" s="2" t="s">
        <v>113</v>
      </c>
      <c r="P30" s="2">
        <v>44.2</v>
      </c>
      <c r="Q30" s="3">
        <v>45026</v>
      </c>
      <c r="R30" s="3">
        <v>45030</v>
      </c>
      <c r="S30" s="2" t="s">
        <v>45</v>
      </c>
    </row>
    <row r="31" spans="1:19" x14ac:dyDescent="0.35">
      <c r="A31" s="3">
        <v>45720</v>
      </c>
      <c r="B31" s="2" t="s">
        <v>19</v>
      </c>
      <c r="C31" s="2" t="s">
        <v>49</v>
      </c>
      <c r="D31" s="2">
        <v>8</v>
      </c>
      <c r="E31" s="2">
        <v>486.07</v>
      </c>
      <c r="F31" s="2" t="s">
        <v>59</v>
      </c>
      <c r="G31" s="2" t="s">
        <v>39</v>
      </c>
      <c r="H31" s="2">
        <v>0</v>
      </c>
      <c r="I31" s="2" t="s">
        <v>40</v>
      </c>
      <c r="J31" s="2">
        <v>3888.56</v>
      </c>
      <c r="K31" s="2" t="s">
        <v>93</v>
      </c>
      <c r="L31" s="2" t="s">
        <v>42</v>
      </c>
      <c r="M31" s="2">
        <v>0</v>
      </c>
      <c r="N31" s="2" t="s">
        <v>114</v>
      </c>
      <c r="O31" s="2" t="s">
        <v>115</v>
      </c>
      <c r="P31" s="2">
        <v>10.68</v>
      </c>
      <c r="Q31" s="3">
        <v>45720</v>
      </c>
      <c r="R31" s="3">
        <v>45726</v>
      </c>
      <c r="S31" s="2" t="s">
        <v>28</v>
      </c>
    </row>
    <row r="32" spans="1:19" x14ac:dyDescent="0.35">
      <c r="A32" s="3">
        <v>45484</v>
      </c>
      <c r="B32" s="2" t="s">
        <v>82</v>
      </c>
      <c r="C32" s="2" t="s">
        <v>86</v>
      </c>
      <c r="D32" s="2">
        <v>6</v>
      </c>
      <c r="E32" s="2">
        <v>555.03</v>
      </c>
      <c r="F32" s="2" t="s">
        <v>21</v>
      </c>
      <c r="G32" s="2" t="s">
        <v>39</v>
      </c>
      <c r="H32" s="2">
        <v>0.1</v>
      </c>
      <c r="I32" s="2" t="s">
        <v>23</v>
      </c>
      <c r="J32" s="2">
        <v>2997.1619999999998</v>
      </c>
      <c r="K32" s="2" t="s">
        <v>41</v>
      </c>
      <c r="L32" s="2"/>
      <c r="M32" s="2">
        <v>1</v>
      </c>
      <c r="N32" s="2" t="s">
        <v>116</v>
      </c>
      <c r="O32" s="2" t="s">
        <v>117</v>
      </c>
      <c r="P32" s="2">
        <v>23.69</v>
      </c>
      <c r="Q32" s="3">
        <v>45484</v>
      </c>
      <c r="R32" s="3">
        <v>45493</v>
      </c>
      <c r="S32" s="2" t="s">
        <v>85</v>
      </c>
    </row>
    <row r="33" spans="1:19" x14ac:dyDescent="0.35">
      <c r="A33" s="3">
        <v>45521</v>
      </c>
      <c r="B33" s="2" t="s">
        <v>82</v>
      </c>
      <c r="C33" s="2" t="s">
        <v>89</v>
      </c>
      <c r="D33" s="2">
        <v>13</v>
      </c>
      <c r="E33" s="2">
        <v>421.08</v>
      </c>
      <c r="F33" s="2" t="s">
        <v>59</v>
      </c>
      <c r="G33" s="2" t="s">
        <v>22</v>
      </c>
      <c r="H33" s="2">
        <v>0</v>
      </c>
      <c r="I33" s="2" t="s">
        <v>60</v>
      </c>
      <c r="J33" s="2">
        <v>5474.04</v>
      </c>
      <c r="K33" s="2" t="s">
        <v>33</v>
      </c>
      <c r="L33" s="2"/>
      <c r="M33" s="2">
        <v>0</v>
      </c>
      <c r="N33" s="2" t="s">
        <v>118</v>
      </c>
      <c r="O33" s="2" t="s">
        <v>119</v>
      </c>
      <c r="P33" s="2">
        <v>24.51</v>
      </c>
      <c r="Q33" s="3">
        <v>45521</v>
      </c>
      <c r="R33" s="3">
        <v>45524</v>
      </c>
      <c r="S33" s="2" t="s">
        <v>85</v>
      </c>
    </row>
    <row r="34" spans="1:19" x14ac:dyDescent="0.35">
      <c r="A34" s="3">
        <v>45838</v>
      </c>
      <c r="B34" s="2" t="s">
        <v>37</v>
      </c>
      <c r="C34" s="2" t="s">
        <v>86</v>
      </c>
      <c r="D34" s="2">
        <v>16</v>
      </c>
      <c r="E34" s="2">
        <v>76.17</v>
      </c>
      <c r="F34" s="2" t="s">
        <v>31</v>
      </c>
      <c r="G34" s="2" t="s">
        <v>22</v>
      </c>
      <c r="H34" s="2">
        <v>0.1</v>
      </c>
      <c r="I34" s="2" t="s">
        <v>67</v>
      </c>
      <c r="J34" s="2">
        <v>1096.848</v>
      </c>
      <c r="K34" s="2" t="s">
        <v>33</v>
      </c>
      <c r="L34" s="2" t="s">
        <v>51</v>
      </c>
      <c r="M34" s="2">
        <v>0</v>
      </c>
      <c r="N34" s="2" t="s">
        <v>120</v>
      </c>
      <c r="O34" s="2" t="s">
        <v>121</v>
      </c>
      <c r="P34" s="2">
        <v>41.88</v>
      </c>
      <c r="Q34" s="3">
        <v>45838</v>
      </c>
      <c r="R34" s="3">
        <v>45847</v>
      </c>
      <c r="S34" s="2" t="s">
        <v>45</v>
      </c>
    </row>
    <row r="35" spans="1:19" x14ac:dyDescent="0.35">
      <c r="A35" s="3">
        <v>45602</v>
      </c>
      <c r="B35" s="2" t="s">
        <v>29</v>
      </c>
      <c r="C35" s="2" t="s">
        <v>49</v>
      </c>
      <c r="D35" s="2">
        <v>3</v>
      </c>
      <c r="E35" s="2">
        <v>503.55</v>
      </c>
      <c r="F35" s="2" t="s">
        <v>21</v>
      </c>
      <c r="G35" s="2" t="s">
        <v>22</v>
      </c>
      <c r="H35" s="2">
        <v>0.1</v>
      </c>
      <c r="I35" s="2" t="s">
        <v>60</v>
      </c>
      <c r="J35" s="2">
        <v>1359.585</v>
      </c>
      <c r="K35" s="2" t="s">
        <v>41</v>
      </c>
      <c r="L35" s="2" t="s">
        <v>51</v>
      </c>
      <c r="M35" s="2">
        <v>0</v>
      </c>
      <c r="N35" s="2" t="s">
        <v>122</v>
      </c>
      <c r="O35" s="2" t="s">
        <v>123</v>
      </c>
      <c r="P35" s="2">
        <v>37.49</v>
      </c>
      <c r="Q35" s="3">
        <v>45602</v>
      </c>
      <c r="R35" s="3">
        <v>45609</v>
      </c>
      <c r="S35" s="2" t="s">
        <v>36</v>
      </c>
    </row>
    <row r="36" spans="1:19" x14ac:dyDescent="0.35">
      <c r="A36" s="3">
        <v>45748</v>
      </c>
      <c r="B36" s="2" t="s">
        <v>82</v>
      </c>
      <c r="C36" s="2" t="s">
        <v>46</v>
      </c>
      <c r="D36" s="2">
        <v>5</v>
      </c>
      <c r="E36" s="2">
        <v>31.56</v>
      </c>
      <c r="F36" s="2" t="s">
        <v>31</v>
      </c>
      <c r="G36" s="2" t="s">
        <v>39</v>
      </c>
      <c r="H36" s="2">
        <v>0</v>
      </c>
      <c r="I36" s="2" t="s">
        <v>97</v>
      </c>
      <c r="J36" s="2">
        <v>157.80000000000001</v>
      </c>
      <c r="K36" s="2" t="s">
        <v>24</v>
      </c>
      <c r="L36" s="2" t="s">
        <v>25</v>
      </c>
      <c r="M36" s="2">
        <v>1</v>
      </c>
      <c r="N36" s="2" t="s">
        <v>124</v>
      </c>
      <c r="O36" s="2" t="s">
        <v>125</v>
      </c>
      <c r="P36" s="2">
        <v>29.56</v>
      </c>
      <c r="Q36" s="3">
        <v>45748</v>
      </c>
      <c r="R36" s="3">
        <v>45751</v>
      </c>
      <c r="S36" s="2" t="s">
        <v>85</v>
      </c>
    </row>
    <row r="37" spans="1:19" x14ac:dyDescent="0.35">
      <c r="A37" s="3">
        <v>45474</v>
      </c>
      <c r="B37" s="2" t="s">
        <v>92</v>
      </c>
      <c r="C37" s="2" t="s">
        <v>86</v>
      </c>
      <c r="D37" s="2">
        <v>16</v>
      </c>
      <c r="E37" s="2">
        <v>72.92</v>
      </c>
      <c r="F37" s="2" t="s">
        <v>21</v>
      </c>
      <c r="G37" s="2" t="s">
        <v>22</v>
      </c>
      <c r="H37" s="2">
        <v>0.05</v>
      </c>
      <c r="I37" s="2" t="s">
        <v>23</v>
      </c>
      <c r="J37" s="2">
        <v>1108.384</v>
      </c>
      <c r="K37" s="2" t="s">
        <v>33</v>
      </c>
      <c r="L37" s="2" t="s">
        <v>42</v>
      </c>
      <c r="M37" s="2">
        <v>0</v>
      </c>
      <c r="N37" s="2" t="s">
        <v>126</v>
      </c>
      <c r="O37" s="2" t="s">
        <v>127</v>
      </c>
      <c r="P37" s="2">
        <v>5.7</v>
      </c>
      <c r="Q37" s="3">
        <v>45474</v>
      </c>
      <c r="R37" s="3">
        <v>45479</v>
      </c>
      <c r="S37" s="2" t="s">
        <v>96</v>
      </c>
    </row>
    <row r="38" spans="1:19" x14ac:dyDescent="0.35">
      <c r="A38" s="3">
        <v>45269</v>
      </c>
      <c r="B38" s="2" t="s">
        <v>92</v>
      </c>
      <c r="C38" s="2" t="s">
        <v>49</v>
      </c>
      <c r="D38" s="2">
        <v>18</v>
      </c>
      <c r="E38" s="2">
        <v>421.93</v>
      </c>
      <c r="F38" s="2" t="s">
        <v>31</v>
      </c>
      <c r="G38" s="2" t="s">
        <v>39</v>
      </c>
      <c r="H38" s="2">
        <v>0.05</v>
      </c>
      <c r="I38" s="2" t="s">
        <v>60</v>
      </c>
      <c r="J38" s="2">
        <v>7215.0029999999997</v>
      </c>
      <c r="K38" s="2" t="s">
        <v>50</v>
      </c>
      <c r="L38" s="2" t="s">
        <v>51</v>
      </c>
      <c r="M38" s="2">
        <v>0</v>
      </c>
      <c r="N38" s="2" t="s">
        <v>128</v>
      </c>
      <c r="O38" s="2" t="s">
        <v>129</v>
      </c>
      <c r="P38" s="2">
        <v>23.42</v>
      </c>
      <c r="Q38" s="3">
        <v>45269</v>
      </c>
      <c r="R38" s="3">
        <v>45278</v>
      </c>
      <c r="S38" s="2" t="s">
        <v>96</v>
      </c>
    </row>
    <row r="39" spans="1:19" x14ac:dyDescent="0.35">
      <c r="A39" s="3">
        <v>45104</v>
      </c>
      <c r="B39" s="2" t="s">
        <v>37</v>
      </c>
      <c r="C39" s="2" t="s">
        <v>89</v>
      </c>
      <c r="D39" s="2">
        <v>15</v>
      </c>
      <c r="E39" s="2">
        <v>478.41</v>
      </c>
      <c r="F39" s="2" t="s">
        <v>59</v>
      </c>
      <c r="G39" s="2" t="s">
        <v>39</v>
      </c>
      <c r="H39" s="2">
        <v>0.1</v>
      </c>
      <c r="I39" s="2" t="s">
        <v>40</v>
      </c>
      <c r="J39" s="2">
        <v>6458.5350000000008</v>
      </c>
      <c r="K39" s="2" t="s">
        <v>93</v>
      </c>
      <c r="L39" s="2" t="s">
        <v>42</v>
      </c>
      <c r="M39" s="2">
        <v>0</v>
      </c>
      <c r="N39" s="2" t="s">
        <v>130</v>
      </c>
      <c r="O39" s="2" t="s">
        <v>131</v>
      </c>
      <c r="P39" s="2">
        <v>35.630000000000003</v>
      </c>
      <c r="Q39" s="3">
        <v>45104</v>
      </c>
      <c r="R39" s="3">
        <v>45107</v>
      </c>
      <c r="S39" s="2" t="s">
        <v>45</v>
      </c>
    </row>
    <row r="40" spans="1:19" x14ac:dyDescent="0.35">
      <c r="A40" s="3">
        <v>45121</v>
      </c>
      <c r="B40" s="2" t="s">
        <v>29</v>
      </c>
      <c r="C40" s="2" t="s">
        <v>20</v>
      </c>
      <c r="D40" s="2">
        <v>9</v>
      </c>
      <c r="E40" s="2">
        <v>501.74</v>
      </c>
      <c r="F40" s="2" t="s">
        <v>31</v>
      </c>
      <c r="G40" s="2" t="s">
        <v>39</v>
      </c>
      <c r="H40" s="2">
        <v>0</v>
      </c>
      <c r="I40" s="2" t="s">
        <v>60</v>
      </c>
      <c r="J40" s="2">
        <v>4515.66</v>
      </c>
      <c r="K40" s="2" t="s">
        <v>24</v>
      </c>
      <c r="L40" s="2" t="s">
        <v>25</v>
      </c>
      <c r="M40" s="2">
        <v>1</v>
      </c>
      <c r="N40" s="2" t="s">
        <v>132</v>
      </c>
      <c r="O40" s="2" t="s">
        <v>133</v>
      </c>
      <c r="P40" s="2">
        <v>39.74</v>
      </c>
      <c r="Q40" s="3">
        <v>45121</v>
      </c>
      <c r="R40" s="3">
        <v>45124</v>
      </c>
      <c r="S40" s="2" t="s">
        <v>36</v>
      </c>
    </row>
    <row r="41" spans="1:19" x14ac:dyDescent="0.35">
      <c r="A41" s="3">
        <v>44965</v>
      </c>
      <c r="B41" s="2" t="s">
        <v>29</v>
      </c>
      <c r="C41" s="2" t="s">
        <v>46</v>
      </c>
      <c r="D41" s="2">
        <v>7</v>
      </c>
      <c r="E41" s="2">
        <v>247.53</v>
      </c>
      <c r="F41" s="2" t="s">
        <v>21</v>
      </c>
      <c r="G41" s="2" t="s">
        <v>22</v>
      </c>
      <c r="H41" s="2">
        <v>0.15</v>
      </c>
      <c r="I41" s="2" t="s">
        <v>67</v>
      </c>
      <c r="J41" s="2">
        <v>1472.8035</v>
      </c>
      <c r="K41" s="2" t="s">
        <v>50</v>
      </c>
      <c r="L41" s="2" t="s">
        <v>42</v>
      </c>
      <c r="M41" s="2">
        <v>0</v>
      </c>
      <c r="N41" s="2" t="s">
        <v>134</v>
      </c>
      <c r="O41" s="2" t="s">
        <v>135</v>
      </c>
      <c r="P41" s="2">
        <v>13.63</v>
      </c>
      <c r="Q41" s="3">
        <v>44965</v>
      </c>
      <c r="R41" s="3">
        <v>44973</v>
      </c>
      <c r="S41" s="2" t="s">
        <v>36</v>
      </c>
    </row>
    <row r="42" spans="1:19" x14ac:dyDescent="0.35">
      <c r="A42" s="3">
        <v>45471</v>
      </c>
      <c r="B42" s="2" t="s">
        <v>92</v>
      </c>
      <c r="C42" s="2" t="s">
        <v>46</v>
      </c>
      <c r="D42" s="2">
        <v>6</v>
      </c>
      <c r="E42" s="2">
        <v>176.51</v>
      </c>
      <c r="F42" s="2" t="s">
        <v>21</v>
      </c>
      <c r="G42" s="2" t="s">
        <v>22</v>
      </c>
      <c r="H42" s="2">
        <v>0.15</v>
      </c>
      <c r="I42" s="2" t="s">
        <v>40</v>
      </c>
      <c r="J42" s="2">
        <v>900.20099999999991</v>
      </c>
      <c r="K42" s="2" t="s">
        <v>93</v>
      </c>
      <c r="L42" s="2" t="s">
        <v>42</v>
      </c>
      <c r="M42" s="2">
        <v>1</v>
      </c>
      <c r="N42" s="2" t="s">
        <v>136</v>
      </c>
      <c r="O42" s="2" t="s">
        <v>137</v>
      </c>
      <c r="P42" s="2">
        <v>31.02</v>
      </c>
      <c r="Q42" s="3">
        <v>45471</v>
      </c>
      <c r="R42" s="3">
        <v>45480</v>
      </c>
      <c r="S42" s="2" t="s">
        <v>96</v>
      </c>
    </row>
    <row r="43" spans="1:19" x14ac:dyDescent="0.35">
      <c r="A43" s="3">
        <v>45397</v>
      </c>
      <c r="B43" s="2" t="s">
        <v>92</v>
      </c>
      <c r="C43" s="2" t="s">
        <v>86</v>
      </c>
      <c r="D43" s="2">
        <v>2</v>
      </c>
      <c r="E43" s="2">
        <v>143.43</v>
      </c>
      <c r="F43" s="2" t="s">
        <v>31</v>
      </c>
      <c r="G43" s="2" t="s">
        <v>22</v>
      </c>
      <c r="H43" s="2">
        <v>0</v>
      </c>
      <c r="I43" s="2" t="s">
        <v>60</v>
      </c>
      <c r="J43" s="2">
        <v>286.86</v>
      </c>
      <c r="K43" s="2" t="s">
        <v>41</v>
      </c>
      <c r="L43" s="2"/>
      <c r="M43" s="2">
        <v>0</v>
      </c>
      <c r="N43" s="2" t="s">
        <v>138</v>
      </c>
      <c r="O43" s="2" t="s">
        <v>139</v>
      </c>
      <c r="P43" s="2">
        <v>36.94</v>
      </c>
      <c r="Q43" s="3">
        <v>45397</v>
      </c>
      <c r="R43" s="3">
        <v>45404</v>
      </c>
      <c r="S43" s="2" t="s">
        <v>96</v>
      </c>
    </row>
    <row r="44" spans="1:19" x14ac:dyDescent="0.35">
      <c r="A44" s="3">
        <v>45257</v>
      </c>
      <c r="B44" s="2" t="s">
        <v>82</v>
      </c>
      <c r="C44" s="2" t="s">
        <v>38</v>
      </c>
      <c r="D44" s="2">
        <v>12</v>
      </c>
      <c r="E44" s="2">
        <v>538.5</v>
      </c>
      <c r="F44" s="2" t="s">
        <v>21</v>
      </c>
      <c r="G44" s="2" t="s">
        <v>22</v>
      </c>
      <c r="H44" s="2">
        <v>0.05</v>
      </c>
      <c r="I44" s="2" t="s">
        <v>67</v>
      </c>
      <c r="J44" s="2">
        <v>6138.9</v>
      </c>
      <c r="K44" s="2" t="s">
        <v>33</v>
      </c>
      <c r="L44" s="2" t="s">
        <v>25</v>
      </c>
      <c r="M44" s="2">
        <v>0</v>
      </c>
      <c r="N44" s="2" t="s">
        <v>140</v>
      </c>
      <c r="O44" s="2" t="s">
        <v>141</v>
      </c>
      <c r="P44" s="2">
        <v>18.54</v>
      </c>
      <c r="Q44" s="3">
        <v>45257</v>
      </c>
      <c r="R44" s="3">
        <v>45266</v>
      </c>
      <c r="S44" s="2" t="s">
        <v>85</v>
      </c>
    </row>
    <row r="45" spans="1:19" x14ac:dyDescent="0.35">
      <c r="A45" s="3">
        <v>45743</v>
      </c>
      <c r="B45" s="2" t="s">
        <v>82</v>
      </c>
      <c r="C45" s="2" t="s">
        <v>49</v>
      </c>
      <c r="D45" s="2">
        <v>5</v>
      </c>
      <c r="E45" s="2">
        <v>87.17</v>
      </c>
      <c r="F45" s="2" t="s">
        <v>31</v>
      </c>
      <c r="G45" s="2" t="s">
        <v>22</v>
      </c>
      <c r="H45" s="2">
        <v>0</v>
      </c>
      <c r="I45" s="2" t="s">
        <v>40</v>
      </c>
      <c r="J45" s="2">
        <v>435.85</v>
      </c>
      <c r="K45" s="2" t="s">
        <v>93</v>
      </c>
      <c r="L45" s="2"/>
      <c r="M45" s="2">
        <v>0</v>
      </c>
      <c r="N45" s="2" t="s">
        <v>142</v>
      </c>
      <c r="O45" s="2" t="s">
        <v>143</v>
      </c>
      <c r="P45" s="2">
        <v>13.01</v>
      </c>
      <c r="Q45" s="3">
        <v>45743</v>
      </c>
      <c r="R45" s="3">
        <v>45745</v>
      </c>
      <c r="S45" s="2" t="s">
        <v>85</v>
      </c>
    </row>
    <row r="46" spans="1:19" x14ac:dyDescent="0.35">
      <c r="A46" s="3">
        <v>45144</v>
      </c>
      <c r="B46" s="2" t="s">
        <v>29</v>
      </c>
      <c r="C46" s="2" t="s">
        <v>38</v>
      </c>
      <c r="D46" s="2">
        <v>7</v>
      </c>
      <c r="E46" s="2">
        <v>498.32</v>
      </c>
      <c r="F46" s="2" t="s">
        <v>59</v>
      </c>
      <c r="G46" s="2" t="s">
        <v>22</v>
      </c>
      <c r="H46" s="2">
        <v>0.1</v>
      </c>
      <c r="I46" s="2" t="s">
        <v>67</v>
      </c>
      <c r="J46" s="2">
        <v>3139.4160000000002</v>
      </c>
      <c r="K46" s="2" t="s">
        <v>41</v>
      </c>
      <c r="L46" s="2" t="s">
        <v>51</v>
      </c>
      <c r="M46" s="2">
        <v>1</v>
      </c>
      <c r="N46" s="2" t="s">
        <v>144</v>
      </c>
      <c r="O46" s="2" t="s">
        <v>145</v>
      </c>
      <c r="P46" s="2">
        <v>27.65</v>
      </c>
      <c r="Q46" s="3">
        <v>45144</v>
      </c>
      <c r="R46" s="3">
        <v>45148</v>
      </c>
      <c r="S46" s="2" t="s">
        <v>36</v>
      </c>
    </row>
    <row r="47" spans="1:19" x14ac:dyDescent="0.35">
      <c r="A47" s="3">
        <v>45639</v>
      </c>
      <c r="B47" s="2" t="s">
        <v>29</v>
      </c>
      <c r="C47" s="2" t="s">
        <v>49</v>
      </c>
      <c r="D47" s="2">
        <v>15</v>
      </c>
      <c r="E47" s="2">
        <v>57.14</v>
      </c>
      <c r="F47" s="2" t="s">
        <v>59</v>
      </c>
      <c r="G47" s="2" t="s">
        <v>22</v>
      </c>
      <c r="H47" s="2">
        <v>0.15</v>
      </c>
      <c r="I47" s="2" t="s">
        <v>40</v>
      </c>
      <c r="J47" s="2">
        <v>728.53499999999997</v>
      </c>
      <c r="K47" s="2" t="s">
        <v>93</v>
      </c>
      <c r="L47" s="2" t="s">
        <v>42</v>
      </c>
      <c r="M47" s="2">
        <v>0</v>
      </c>
      <c r="N47" s="2" t="s">
        <v>146</v>
      </c>
      <c r="O47" s="2" t="s">
        <v>147</v>
      </c>
      <c r="P47" s="2">
        <v>7.02</v>
      </c>
      <c r="Q47" s="3">
        <v>45639</v>
      </c>
      <c r="R47" s="3">
        <v>45648</v>
      </c>
      <c r="S47" s="2" t="s">
        <v>36</v>
      </c>
    </row>
    <row r="48" spans="1:19" x14ac:dyDescent="0.35">
      <c r="A48" s="3">
        <v>45674</v>
      </c>
      <c r="B48" s="2" t="s">
        <v>19</v>
      </c>
      <c r="C48" s="2" t="s">
        <v>46</v>
      </c>
      <c r="D48" s="2">
        <v>18</v>
      </c>
      <c r="E48" s="2">
        <v>124.18</v>
      </c>
      <c r="F48" s="2" t="s">
        <v>59</v>
      </c>
      <c r="G48" s="2" t="s">
        <v>22</v>
      </c>
      <c r="H48" s="2">
        <v>0.15</v>
      </c>
      <c r="I48" s="2" t="s">
        <v>40</v>
      </c>
      <c r="J48" s="2">
        <v>1899.954</v>
      </c>
      <c r="K48" s="2" t="s">
        <v>93</v>
      </c>
      <c r="L48" s="2" t="s">
        <v>25</v>
      </c>
      <c r="M48" s="2">
        <v>0</v>
      </c>
      <c r="N48" s="2" t="s">
        <v>148</v>
      </c>
      <c r="O48" s="2" t="s">
        <v>149</v>
      </c>
      <c r="P48" s="2">
        <v>45.77</v>
      </c>
      <c r="Q48" s="3">
        <v>45674</v>
      </c>
      <c r="R48" s="3">
        <v>45683</v>
      </c>
      <c r="S48" s="2" t="s">
        <v>28</v>
      </c>
    </row>
    <row r="49" spans="1:19" x14ac:dyDescent="0.35">
      <c r="A49" s="3">
        <v>45256</v>
      </c>
      <c r="B49" s="2" t="s">
        <v>92</v>
      </c>
      <c r="C49" s="2" t="s">
        <v>89</v>
      </c>
      <c r="D49" s="2">
        <v>12</v>
      </c>
      <c r="E49" s="2">
        <v>107.45</v>
      </c>
      <c r="F49" s="2" t="s">
        <v>21</v>
      </c>
      <c r="G49" s="2" t="s">
        <v>39</v>
      </c>
      <c r="H49" s="2">
        <v>0.1</v>
      </c>
      <c r="I49" s="2" t="s">
        <v>60</v>
      </c>
      <c r="J49" s="2">
        <v>1160.46</v>
      </c>
      <c r="K49" s="2" t="s">
        <v>24</v>
      </c>
      <c r="L49" s="2" t="s">
        <v>42</v>
      </c>
      <c r="M49" s="2">
        <v>0</v>
      </c>
      <c r="N49" s="2" t="s">
        <v>150</v>
      </c>
      <c r="O49" s="2" t="s">
        <v>151</v>
      </c>
      <c r="P49" s="2">
        <v>18.170000000000002</v>
      </c>
      <c r="Q49" s="3">
        <v>45256</v>
      </c>
      <c r="R49" s="3">
        <v>45262</v>
      </c>
      <c r="S49" s="2" t="s">
        <v>96</v>
      </c>
    </row>
    <row r="50" spans="1:19" x14ac:dyDescent="0.35">
      <c r="A50" s="3">
        <v>44971</v>
      </c>
      <c r="B50" s="2" t="s">
        <v>82</v>
      </c>
      <c r="C50" s="2" t="s">
        <v>20</v>
      </c>
      <c r="D50" s="2">
        <v>8</v>
      </c>
      <c r="E50" s="2">
        <v>411.26</v>
      </c>
      <c r="F50" s="2" t="s">
        <v>56</v>
      </c>
      <c r="G50" s="2" t="s">
        <v>39</v>
      </c>
      <c r="H50" s="2">
        <v>0.1</v>
      </c>
      <c r="I50" s="2" t="s">
        <v>23</v>
      </c>
      <c r="J50" s="2">
        <v>2961.0720000000001</v>
      </c>
      <c r="K50" s="2" t="s">
        <v>50</v>
      </c>
      <c r="L50" s="2" t="s">
        <v>51</v>
      </c>
      <c r="M50" s="2">
        <v>0</v>
      </c>
      <c r="N50" s="2" t="s">
        <v>152</v>
      </c>
      <c r="O50" s="2" t="s">
        <v>153</v>
      </c>
      <c r="P50" s="2">
        <v>28.57</v>
      </c>
      <c r="Q50" s="3">
        <v>44971</v>
      </c>
      <c r="R50" s="3">
        <v>44975</v>
      </c>
      <c r="S50" s="2" t="s">
        <v>85</v>
      </c>
    </row>
    <row r="51" spans="1:19" x14ac:dyDescent="0.35">
      <c r="A51" s="3">
        <v>45690</v>
      </c>
      <c r="B51" s="2" t="s">
        <v>19</v>
      </c>
      <c r="C51" s="2" t="s">
        <v>49</v>
      </c>
      <c r="D51" s="2">
        <v>7</v>
      </c>
      <c r="E51" s="2">
        <v>248.1</v>
      </c>
      <c r="F51" s="2" t="s">
        <v>21</v>
      </c>
      <c r="G51" s="2" t="s">
        <v>39</v>
      </c>
      <c r="H51" s="2">
        <v>0</v>
      </c>
      <c r="I51" s="2" t="s">
        <v>97</v>
      </c>
      <c r="J51" s="2">
        <v>1736.7</v>
      </c>
      <c r="K51" s="2" t="s">
        <v>33</v>
      </c>
      <c r="L51" s="2" t="s">
        <v>51</v>
      </c>
      <c r="M51" s="2">
        <v>0</v>
      </c>
      <c r="N51" s="2" t="s">
        <v>154</v>
      </c>
      <c r="O51" s="2" t="s">
        <v>155</v>
      </c>
      <c r="P51" s="2">
        <v>31.8</v>
      </c>
      <c r="Q51" s="3">
        <v>45690</v>
      </c>
      <c r="R51" s="3">
        <v>45694</v>
      </c>
      <c r="S51" s="2" t="s">
        <v>28</v>
      </c>
    </row>
    <row r="52" spans="1:19" x14ac:dyDescent="0.35">
      <c r="A52" s="3">
        <v>45027</v>
      </c>
      <c r="B52" s="2" t="s">
        <v>92</v>
      </c>
      <c r="C52" s="2" t="s">
        <v>49</v>
      </c>
      <c r="D52" s="2">
        <v>3</v>
      </c>
      <c r="E52" s="2">
        <v>486.52</v>
      </c>
      <c r="F52" s="2" t="s">
        <v>59</v>
      </c>
      <c r="G52" s="2" t="s">
        <v>22</v>
      </c>
      <c r="H52" s="2">
        <v>0.1</v>
      </c>
      <c r="I52" s="2" t="s">
        <v>40</v>
      </c>
      <c r="J52" s="2">
        <v>1313.604</v>
      </c>
      <c r="K52" s="2" t="s">
        <v>50</v>
      </c>
      <c r="L52" s="2"/>
      <c r="M52" s="2">
        <v>0</v>
      </c>
      <c r="N52" s="2" t="s">
        <v>156</v>
      </c>
      <c r="O52" s="2" t="s">
        <v>157</v>
      </c>
      <c r="P52" s="2">
        <v>16.5</v>
      </c>
      <c r="Q52" s="3">
        <v>45027</v>
      </c>
      <c r="R52" s="3">
        <v>45036</v>
      </c>
      <c r="S52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Summary</vt:lpstr>
      <vt:lpstr>What if analysis</vt:lpstr>
      <vt:lpstr>pivotTable &amp;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Vanapalli</dc:creator>
  <cp:lastModifiedBy>Vamsi Vanapalli</cp:lastModifiedBy>
  <dcterms:created xsi:type="dcterms:W3CDTF">2025-11-28T13:49:53Z</dcterms:created>
  <dcterms:modified xsi:type="dcterms:W3CDTF">2025-11-28T14:40:31Z</dcterms:modified>
</cp:coreProperties>
</file>